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5d832adf2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e6fd7db0c847c1"/>
    <x:sheet xmlns:r="http://schemas.openxmlformats.org/officeDocument/2006/relationships" name="Evidence Matrix" sheetId="2" r:id="R1752096b7a5f4adb"/>
    <x:sheet xmlns:r="http://schemas.openxmlformats.org/officeDocument/2006/relationships" name="Direct Metrics" sheetId="3" r:id="Re5055ba3a1fe4b48"/>
    <x:sheet xmlns:r="http://schemas.openxmlformats.org/officeDocument/2006/relationships" name="Project Crosswalk" sheetId="4" r:id="R690bcc102425418d"/>
    <x:sheet xmlns:r="http://schemas.openxmlformats.org/officeDocument/2006/relationships" name="Quality Summary" sheetId="5" r:id="Rc50347ff4552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17324D"/>
      <x:name val="Carlito"/>
    </x:font>
    <x:font>
      <x:sz val="9"/>
      <x:color rgb="FF1E2933"/>
      <x:name val="Carlito"/>
    </x:font>
    <x:font>
      <x:b/>
      <x:sz val="10"/>
      <x:color rgb="FFFFFFFF"/>
      <x:name val="Carlito"/>
    </x:font>
    <x:font>
      <x:b/>
      <x:sz val="9"/>
      <x:color rgb="FF17324D"/>
      <x:name val="Carlito"/>
    </x:font>
    <x:font>
      <x:b/>
      <x:sz val="11"/>
      <x:color rgb="FF6A5000"/>
      <x:name val="Carlito"/>
    </x:font>
    <x:font>
      <x:b/>
      <x:sz val="9"/>
      <x:color rgb="FF6A5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EAF4F4"/>
      </x:patternFill>
    </x:fill>
    <x:fill>
      <x:patternFill patternType="solid">
        <x:fgColor rgb="FF1F8A8A"/>
      </x:patternFill>
    </x:fill>
    <x:fill>
      <x:patternFill patternType="solid">
        <x:fgColor rgb="FFFFF5D6"/>
      </x:patternFill>
    </x:fill>
  </x:fills>
  <x:borders count="6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D4A017"/>
      </x:left>
      <x:top style="thin">
        <x:color rgb="FFD4A017"/>
      </x:top>
      <x:bottom style="thin">
        <x:color rgb="FFD4A017"/>
      </x:bottom>
    </x:border>
    <x:border>
      <x:top style="thin">
        <x:color rgb="FFD4A017"/>
      </x:top>
      <x:bottom style="thin">
        <x:color rgb="FFD4A017"/>
      </x:bottom>
    </x:border>
    <x:border>
      <x:left style="thin">
        <x:color rgb="FFCBD5DF"/>
      </x:left>
      <x:right style="thin">
        <x:color rgb="FFCBD5DF"/>
      </x:right>
      <x:top style="thin">
        <x:color rgb="FFD4A017"/>
      </x:top>
      <x:bottom style="thin">
        <x:color rgb="FFD4A017"/>
      </x:bottom>
    </x:border>
    <x:border>
      <x:right style="thin">
        <x:color rgb="FFD4A017"/>
      </x:right>
      <x:top style="thin">
        <x:color rgb="FFD4A017"/>
      </x:top>
      <x:bottom style="thin">
        <x:color rgb="FFD4A017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1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8" fillId="6" borderId="1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8" fillId="6" borderId="4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217A4B"/>
      </x:font>
      <x:fill>
        <x:patternFill patternType="solid">
          <x:bgColor rgb="FFE8F5EC"/>
        </x:patternFill>
      </x:fill>
    </x:dxf>
    <x:dxf>
      <x:font>
        <x:color rgb="FF7A5B00"/>
      </x:font>
      <x:fill>
        <x:patternFill patternType="solid">
          <x:bgColor rgb="FFFFF5D6"/>
        </x:patternFill>
      </x:fill>
    </x:dxf>
    <x:dxf>
      <x:font>
        <x:b/>
        <x:color rgb="FF217A4B"/>
      </x:font>
      <x:fill>
        <x:patternFill patternType="solid">
          <x:bgColor rgb="FFE8F5EC"/>
        </x:patternFill>
      </x:fill>
    </x:dxf>
    <x:dxf>
      <x:font>
        <x:color rgb="FF5D6670"/>
      </x:font>
      <x:fill>
        <x:patternFill patternType="solid">
          <x:bgColor rgb="FFF4F6F8"/>
        </x:patternFill>
      </x:fill>
    </x:dxf>
    <x:dxf>
      <x:font>
        <x:b/>
        <x:color rgb="FF217A4B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ebe4512aa4ef4" /><Relationship Type="http://schemas.openxmlformats.org/officeDocument/2006/relationships/theme" Target="/xl/theme/theme1.xml" Id="R5b795f68147b47c9" /><Relationship Type="http://schemas.openxmlformats.org/officeDocument/2006/relationships/sharedStrings" Target="/xl/sharedStrings.xml" Id="Read67d9a1dcd4e8e" /><Relationship Type="http://schemas.openxmlformats.org/officeDocument/2006/relationships/worksheet" Target="/xl/worksheets/sheet1.xml" Id="Re0e6fd7db0c847c1" /><Relationship Type="http://schemas.openxmlformats.org/officeDocument/2006/relationships/worksheet" Target="/xl/worksheets/sheet2.xml" Id="R1752096b7a5f4adb" /><Relationship Type="http://schemas.openxmlformats.org/officeDocument/2006/relationships/worksheet" Target="/xl/worksheets/sheet3.xml" Id="Re5055ba3a1fe4b48" /><Relationship Type="http://schemas.openxmlformats.org/officeDocument/2006/relationships/worksheet" Target="/xl/worksheets/sheet4.xml" Id="R690bcc102425418d" /><Relationship Type="http://schemas.openxmlformats.org/officeDocument/2006/relationships/worksheet" Target="/xl/worksheets/sheet5.xml" Id="Rc50347ff45524414" /></Relationships>
</file>

<file path=xl/tables/table1.xml><?xml version="1.0" encoding="utf-8"?>
<x:table xmlns:x="http://schemas.openxmlformats.org/spreadsheetml/2006/main" id="1" name="EvidenceMatrixTable" displayName="EvidenceMatrixTable" ref="A4:R104" headerRowCount="1" totalsRowCount="0" totalsRowShown="0">
  <x:tableColumns count="18">
    <x:tableColumn id="1" name="ID"/>
    <x:tableColumn id="2" name="Year"/>
    <x:tableColumn id="3" name="Tier"/>
    <x:tableColumn id="4" name="Theme"/>
    <x:tableColumn id="5" name="Title"/>
    <x:tableColumn id="6" name="Venue / Type"/>
    <x:tableColumn id="7" name="Dataset / Scope"/>
    <x:tableColumn id="8" name="Directness"/>
    <x:tableColumn id="9" name="Evidence Access"/>
    <x:tableColumn id="10" name="Key Evidence / Method"/>
    <x:tableColumn id="11" name="Limitation / Caution"/>
    <x:tableColumn id="12" name="Project Use"/>
    <x:tableColumn id="13" name="Metric Extraction"/>
    <x:tableColumn id="14" name="Reported Metric(s)"/>
    <x:tableColumn id="15" name="Directly Comparable?"/>
    <x:tableColumn id="16" name="Comparison Note"/>
    <x:tableColumn id="17" name="Source URL"/>
    <x:tableColumn id="18" name="Inclus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rectMetricsTable" displayName="DirectMetricsTable" ref="A4:N19" headerRowCount="1" totalsRowCount="0" totalsRowShown="0">
  <x:tableColumns count="14">
    <x:tableColumn id="1" name="Entry"/>
    <x:tableColumn id="2" name="Source / Study"/>
    <x:tableColumn id="3" name="Dataset"/>
    <x:tableColumn id="4" name="Split / Evaluation Unit"/>
    <x:tableColumn id="5" name="Label / Onset Rule"/>
    <x:tableColumn id="6" name="Model / Pipeline"/>
    <x:tableColumn id="7" name="Metric"/>
    <x:tableColumn id="8" name="Reported Value"/>
    <x:tableColumn id="9" name="Our Closest Value"/>
    <x:tableColumn id="10" name="Directly Comparable?"/>
    <x:tableColumn id="11" name="Reason"/>
    <x:tableColumn id="12" name="Evidence Class"/>
    <x:tableColumn id="13" name="Source ID / Commit"/>
    <x:tableColumn id="14" name="Source URL / Artifa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CrosswalkTable" displayName="ProjectCrosswalkTable" ref="A4:H14" headerRowCount="1" totalsRowCount="0" totalsRowShown="0">
  <x:tableColumns count="8">
    <x:tableColumn id="1" name="Project Question / Module"/>
    <x:tableColumn id="2" name="Evidence IDs"/>
    <x:tableColumn id="3" name="What Literature Supports"/>
    <x:tableColumn id="4" name="What It Does Not Prove"/>
    <x:tableColumn id="5" name="Current Repository State"/>
    <x:tableColumn id="6" name="Bible v3 Decision"/>
    <x:tableColumn id="7" name="Next Acceptance Gate"/>
    <x:tableColumn id="8" name="Claim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6c0036d8bd4e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ed66156ad449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519f7847f94d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3" t="str">
        <x:v>Literature Evidence Matrix v3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100 curated sources for the FD002 condition-aware anomaly-detection project | Evidence cutoff: 23 Aug 2026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2" t="str">
        <x:v>Purpose</x:v>
      </x:c>
      <x:c r="B4" s="16" t="str">
        <x:v>Separate paper discovery, evidence strength, project use, and metric comparability. This is a structured evidence register, not a claim that every relevant paper ever published has been exhausted.</x:v>
      </x:c>
    </x:row>
    <x:row r="5" ht="38" customHeight="1">
      <x:c r="A5" s="12" t="str">
        <x:v>Scope</x:v>
      </x:c>
      <x:c r="B5" s="16" t="str">
        <x:v>C-MAPSS/FD002, operating-condition handling, one-class and reconstruction detectors, thresholds, onset estimation, evaluation, drift, ensembles, and explainability.</x:v>
      </x:c>
    </x:row>
    <x:row r="6" ht="38" customHeight="1">
      <x:c r="A6" s="12" t="str">
        <x:v>Record count</x:v>
      </x:c>
      <x:c r="B6" s="16" t="n">
        <x:v>100</x:v>
      </x:c>
    </x:row>
    <x:row r="7" ht="38" customHeight="1">
      <x:c r="A7" s="12" t="str">
        <x:v>Important distinction</x:v>
      </x:c>
      <x:c r="B7" s="16" t="str">
        <x:v>The matrix includes scholarly papers, NASA technical documents, and one authoritative dataset record. Foundational/method papers often have no project-comparable metric.</x:v>
      </x:c>
    </x:row>
    <x:row r="8" ht="38" customHeight="1">
      <x:c r="A8" s="12" t="str">
        <x:v>Evidence access: full_text_checked</x:v>
      </x:c>
      <x:c r="B8" s="16" t="str">
        <x:v>A PDF or full HTML paper was inspected sufficiently to verify the stated method/protocol claim. It does not mean every sentence was read line-by-line.</x:v>
      </x:c>
    </x:row>
    <x:row r="9" ht="38" customHeight="1">
      <x:c r="A9" s="12" t="str">
        <x:v>Evidence access: full_text_checked_prior_review</x:v>
      </x:c>
      <x:c r="B9" s="16" t="str">
        <x:v>The earlier validated review used the full paper or full record for its claim. Re-open before quoting a precise number in the final manuscript.</x:v>
      </x:c>
    </x:row>
    <x:row r="10" ht="38" customHeight="1">
      <x:c r="A10" s="12" t="str">
        <x:v>Evidence access: abstract_checked</x:v>
      </x:c>
      <x:c r="B10" s="16" t="str">
        <x:v>Title, abstract, and source record were checked. Use for screening/background only until methods and results are inspected in full.</x:v>
      </x:c>
    </x:row>
    <x:row r="11" ht="38" customHeight="1">
      <x:c r="A11" s="12" t="str">
        <x:v>Evidence access: official_record_checked</x:v>
      </x:c>
      <x:c r="B11" s="16" t="str">
        <x:v>Authoritative NASA/publisher record checked; metric extraction may not apply.</x:v>
      </x:c>
    </x:row>
    <x:row r="12" ht="38" customHeight="1">
      <x:c r="A12" s="12" t="str">
        <x:v>Direct metric rule</x:v>
      </x:c>
      <x:c r="B12" s="16" t="str">
        <x:v>Compare our metrics with literature only when dataset, split unit, label/onset rule, threshold selection, metric definition, and aggregation are compatible. PR-AUC must not be compared numerically with F1, precision, accuracy, or FAR.</x:v>
      </x:c>
    </x:row>
    <x:row r="13" ht="38" customHeight="1">
      <x:c r="A13" s="12" t="str">
        <x:v>Current project evidence boundary</x:v>
      </x:c>
      <x:c r="B13" s="16" t="str">
        <x:v>Repository commit 3aa9f0f contains validation-proxy diagnostics only. Held-out internal-test and external NASA test results are not yet available.</x:v>
      </x:c>
    </x:row>
    <x:row r="14" ht="38" customHeight="1">
      <x:c r="A14" s="12" t="str">
        <x:v>Use in paper</x:v>
      </x:c>
      <x:c r="B14" s="16" t="str">
        <x:v>Cite the original source URL, then re-check full methods/results before making a strong novelty or performance claim. Maintain a claims ledger linking wording to source IDs and experiment artifacts.</x:v>
      </x:c>
    </x:row>
    <x:row r="15" ht="38" customHeight="1">
      <x:c r="A15" s="12" t="str">
        <x:v>Status</x:v>
      </x:c>
      <x:c r="B15" s="16" t="str">
        <x:v>Core = needed for central argument; Supporting = informs design; Optional = potential comparator; Background = context only.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8" hidden="0" customWidth="1"/>
    <x:col min="3" max="3" width="7" hidden="0" customWidth="1"/>
    <x:col min="4" max="4" width="23" hidden="0" customWidth="1"/>
    <x:col min="5" max="5" width="58" hidden="0" customWidth="1"/>
    <x:col min="6" max="6" width="32" hidden="0" customWidth="1"/>
    <x:col min="7" max="7" width="30" hidden="0" customWidth="1"/>
    <x:col min="8" max="8" width="20" hidden="0" customWidth="1"/>
    <x:col min="9" max="9" width="28" hidden="0" customWidth="1"/>
    <x:col min="10" max="10" width="48" hidden="0" customWidth="1"/>
    <x:col min="11" max="11" width="48" hidden="0" customWidth="1"/>
    <x:col min="12" max="12" width="48" hidden="0" customWidth="1"/>
    <x:col min="13" max="13" width="24" hidden="0" customWidth="1"/>
    <x:col min="14" max="14" width="40" hidden="0" customWidth="1"/>
    <x:col min="15" max="15" width="18" hidden="0" customWidth="1"/>
    <x:col min="16" max="16" width="44" hidden="0" customWidth="1"/>
    <x:col min="17" max="17" width="48" hidden="0" customWidth="1"/>
    <x:col min="18" max="18" width="18" hidden="0" customWidth="1"/>
  </x:cols>
  <x:sheetData>
    <x:row r="1" ht="30" customHeight="1">
      <x:c r="A1" s="3" t="str">
        <x:v>100-Source Evidence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Do not infer comparability from a shared dataset name alone. Filter by theme, access level, and inclusion status before writing claims.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4" customHeight="1">
      <x:c r="A4" s="22" t="str">
        <x:v>ID</x:v>
      </x:c>
      <x:c r="B4" s="22" t="str">
        <x:v>Year</x:v>
      </x:c>
      <x:c r="C4" s="22" t="str">
        <x:v>Tier</x:v>
      </x:c>
      <x:c r="D4" s="22" t="str">
        <x:v>Theme</x:v>
      </x:c>
      <x:c r="E4" s="22" t="str">
        <x:v>Title</x:v>
      </x:c>
      <x:c r="F4" s="22" t="str">
        <x:v>Venue / Type</x:v>
      </x:c>
      <x:c r="G4" s="22" t="str">
        <x:v>Dataset / Scope</x:v>
      </x:c>
      <x:c r="H4" s="22" t="str">
        <x:v>Directness</x:v>
      </x:c>
      <x:c r="I4" s="22" t="str">
        <x:v>Evidence Access</x:v>
      </x:c>
      <x:c r="J4" s="22" t="str">
        <x:v>Key Evidence / Method</x:v>
      </x:c>
      <x:c r="K4" s="22" t="str">
        <x:v>Limitation / Caution</x:v>
      </x:c>
      <x:c r="L4" s="22" t="str">
        <x:v>Project Use</x:v>
      </x:c>
      <x:c r="M4" s="22" t="str">
        <x:v>Metric Extraction</x:v>
      </x:c>
      <x:c r="N4" s="22" t="str">
        <x:v>Reported Metric(s)</x:v>
      </x:c>
      <x:c r="O4" s="22" t="str">
        <x:v>Directly Comparable?</x:v>
      </x:c>
      <x:c r="P4" s="22" t="str">
        <x:v>Comparison Note</x:v>
      </x:c>
      <x:c r="Q4" s="22" t="str">
        <x:v>Source URL</x:v>
      </x:c>
      <x:c r="R4" s="22" t="str">
        <x:v>Inclusion Status</x:v>
      </x:c>
    </x:row>
    <x:row r="5" ht="74" customHeight="1">
      <x:c r="A5" s="23" t="n">
        <x:v>1</x:v>
      </x:c>
      <x:c r="B5" s="23" t="n">
        <x:v>2008</x:v>
      </x:c>
      <x:c r="C5" s="23" t="str">
        <x:v>A</x:v>
      </x:c>
      <x:c r="D5" s="23" t="str">
        <x:v>dataset</x:v>
      </x:c>
      <x:c r="E5" s="16" t="str">
        <x:v>Damage Propagation Modeling for Aircraft Engine Run-to-Failure Simulation</x:v>
      </x:c>
      <x:c r="F5" s="16" t="str">
        <x:v>IEEE PHM conference</x:v>
      </x:c>
      <x:c r="G5" s="16" t="str">
        <x:v>C-MAPSS simulator</x:v>
      </x:c>
      <x:c r="H5" s="16" t="str">
        <x:v>Foundational</x:v>
      </x:c>
      <x:c r="I5" s="16" t="str">
        <x:v>full_text_checked_prior_review</x:v>
      </x:c>
      <x:c r="J5" s="16" t="str">
        <x:v>Defines the run-to-failure simulation basis behind the benchmark</x:v>
      </x:c>
      <x:c r="K5" s="16" t="str">
        <x:v>Does not provide cycle-level anomaly-onset labels</x:v>
      </x:c>
      <x:c r="L5" s="16" t="str">
        <x:v>Dataset provenance and simulation assumptions</x:v>
      </x:c>
      <x:c r="M5" s="16" t="str">
        <x:v>not_applicable</x:v>
      </x:c>
      <x:c r="N5" s="16" t="str">
        <x:v>N/A</x:v>
      </x:c>
      <x:c r="O5" s="23" t="str">
        <x:v>No</x:v>
      </x:c>
      <x:c r="P5" s="16" t="str">
        <x:v>No direct metric comparison approved; see the Direct Metrics sheet.</x:v>
      </x:c>
      <x:c r="Q5" s="16" t="str">
        <x:v>https://ieeexplore.ieee.org/document/4711414</x:v>
      </x:c>
      <x:c r="R5" s="23" t="str">
        <x:v>Supporting</x:v>
      </x:c>
    </x:row>
    <x:row r="6" ht="74" customHeight="1">
      <x:c r="A6" s="23" t="n">
        <x:v>2</x:v>
      </x:c>
      <x:c r="B6" s="23" t="n">
        <x:v>2026</x:v>
      </x:c>
      <x:c r="C6" s="23" t="str">
        <x:v>A</x:v>
      </x:c>
      <x:c r="D6" s="23" t="str">
        <x:v>dataset</x:v>
      </x:c>
      <x:c r="E6" s="16" t="str">
        <x:v>C-MAPSS Jet Engine Simulated Data</x:v>
      </x:c>
      <x:c r="F6" s="16" t="str">
        <x:v>NASA official dataset page</x:v>
      </x:c>
      <x:c r="G6" s="16" t="str">
        <x:v>FD001-FD004</x:v>
      </x:c>
      <x:c r="H6" s="16" t="str">
        <x:v>Foundational</x:v>
      </x:c>
      <x:c r="I6" s="16" t="str">
        <x:v>official_record_checked</x:v>
      </x:c>
      <x:c r="J6" s="16" t="str">
        <x:v>FD002 has 260 train engines, 259 test engines, six operating conditions and one fault mode</x:v>
      </x:c>
      <x:c r="K6" s="16" t="str">
        <x:v>Official test trajectories are truncated and cycle-level anomaly labels are absent</x:v>
      </x:c>
      <x:c r="L6" s="16" t="str">
        <x:v>Authoritative dataset facts</x:v>
      </x:c>
      <x:c r="M6" s="16" t="str">
        <x:v>not_applicable</x:v>
      </x:c>
      <x:c r="N6" s="16" t="str">
        <x:v>N/A</x:v>
      </x:c>
      <x:c r="O6" s="23" t="str">
        <x:v>No</x:v>
      </x:c>
      <x:c r="P6" s="16" t="str">
        <x:v>No direct metric comparison approved; see the Direct Metrics sheet.</x:v>
      </x:c>
      <x:c r="Q6" s="16" t="str">
        <x:v>https://data.nasa.gov/dataset/cmapss-jet-engine-simulated-data</x:v>
      </x:c>
      <x:c r="R6" s="23" t="str">
        <x:v>Core</x:v>
      </x:c>
    </x:row>
    <x:row r="7" ht="74" customHeight="1">
      <x:c r="A7" s="23" t="n">
        <x:v>3</x:v>
      </x:c>
      <x:c r="B7" s="23" t="n">
        <x:v>2014</x:v>
      </x:c>
      <x:c r="C7" s="23" t="str">
        <x:v>A</x:v>
      </x:c>
      <x:c r="D7" s="23" t="str">
        <x:v>benchmark</x:v>
      </x:c>
      <x:c r="E7" s="16" t="str">
        <x:v>Performance Benchmarking and Analysis of Prognostic Methods for CMAPSS Datasets</x:v>
      </x:c>
      <x:c r="F7" s="16" t="str">
        <x:v>International Journal of Prognostics and Health Management</x:v>
      </x:c>
      <x:c r="G7" s="16" t="str">
        <x:v>C-MAPSS</x:v>
      </x:c>
      <x:c r="H7" s="16" t="str">
        <x:v>High</x:v>
      </x:c>
      <x:c r="I7" s="16" t="str">
        <x:v>full_text_checked_prior_review</x:v>
      </x:c>
      <x:c r="J7" s="16" t="str">
        <x:v>Shows that preprocessing and evaluation choices impair comparability</x:v>
      </x:c>
      <x:c r="K7" s="16" t="str">
        <x:v>Primarily prognostics rather than anomaly detection</x:v>
      </x:c>
      <x:c r="L7" s="16" t="str">
        <x:v>Protocol design and claim restraint</x:v>
      </x:c>
      <x:c r="M7" s="16" t="str">
        <x:v>not_extracted</x:v>
      </x:c>
      <x:c r="N7" s="16" t="str">
        <x:v>Not extracted for direct comparison</x:v>
      </x:c>
      <x:c r="O7" s="23" t="str">
        <x:v>No</x:v>
      </x:c>
      <x:c r="P7" s="16" t="str">
        <x:v>No direct metric comparison approved; see the Direct Metrics sheet.</x:v>
      </x:c>
      <x:c r="Q7" s="16" t="str">
        <x:v>https://papers.phmsociety.org/index.php/ijphm/article/view/2236</x:v>
      </x:c>
      <x:c r="R7" s="23" t="str">
        <x:v>Core</x:v>
      </x:c>
    </x:row>
    <x:row r="8" ht="74" customHeight="1">
      <x:c r="A8" s="23" t="n">
        <x:v>4</x:v>
      </x:c>
      <x:c r="B8" s="23" t="n">
        <x:v>2014</x:v>
      </x:c>
      <x:c r="C8" s="23" t="str">
        <x:v>A</x:v>
      </x:c>
      <x:c r="D8" s="23" t="str">
        <x:v>benchmark</x:v>
      </x:c>
      <x:c r="E8" s="16" t="str">
        <x:v>Review and Analysis of Algorithmic Approaches Developed for Prognostics on CMAPSS Data</x:v>
      </x:c>
      <x:c r="F8" s="16" t="str">
        <x:v>PHM Society / NASA report</x:v>
      </x:c>
      <x:c r="G8" s="16" t="str">
        <x:v>C-MAPSS</x:v>
      </x:c>
      <x:c r="H8" s="16" t="str">
        <x:v>High</x:v>
      </x:c>
      <x:c r="I8" s="16" t="str">
        <x:v>full_text_checked_prior_review</x:v>
      </x:c>
      <x:c r="J8" s="16" t="str">
        <x:v>Discusses operating-condition normalization and clustering/segmentation</x:v>
      </x:c>
      <x:c r="K8" s="16" t="str">
        <x:v>Review rather than new anomaly detector</x:v>
      </x:c>
      <x:c r="L8" s="16" t="str">
        <x:v>Historical evidence that condition clustering is not novel</x:v>
      </x:c>
      <x:c r="M8" s="16" t="str">
        <x:v>not_applicable</x:v>
      </x:c>
      <x:c r="N8" s="16" t="str">
        <x:v>N/A</x:v>
      </x:c>
      <x:c r="O8" s="23" t="str">
        <x:v>No</x:v>
      </x:c>
      <x:c r="P8" s="16" t="str">
        <x:v>No direct metric comparison approved; see the Direct Metrics sheet.</x:v>
      </x:c>
      <x:c r="Q8" s="16" t="str">
        <x:v>https://ntrs.nasa.gov/api/citations/20150007677/downloads/20150007677.pdf</x:v>
      </x:c>
      <x:c r="R8" s="23" t="str">
        <x:v>Core</x:v>
      </x:c>
    </x:row>
    <x:row r="9" ht="74" customHeight="1">
      <x:c r="A9" s="23" t="n">
        <x:v>5</x:v>
      </x:c>
      <x:c r="B9" s="23" t="n">
        <x:v>2016</x:v>
      </x:c>
      <x:c r="C9" s="23" t="str">
        <x:v>A</x:v>
      </x:c>
      <x:c r="D9" s="23" t="str">
        <x:v>sequence_anomaly</x:v>
      </x:c>
      <x:c r="E9" s="16" t="str">
        <x:v>LSTM-based Encoder-Decoder for Multi-sensor Anomaly Detection</x:v>
      </x:c>
      <x:c r="F9" s="16" t="str">
        <x:v>ICML workshop / arXiv</x:v>
      </x:c>
      <x:c r="G9" s="16" t="str">
        <x:v>Multivariate industrial sequences</x:v>
      </x:c>
      <x:c r="H9" s="16" t="str">
        <x:v>Method</x:v>
      </x:c>
      <x:c r="I9" s="16" t="str">
        <x:v>full_text_checked_prior_review</x:v>
      </x:c>
      <x:c r="J9" s="16" t="str">
        <x:v>Healthy-sequence reconstruction error is used as anomaly score</x:v>
      </x:c>
      <x:c r="K9" s="16" t="str">
        <x:v>Not a C-MAPSS benchmark study</x:v>
      </x:c>
      <x:c r="L9" s="16" t="str">
        <x:v>Justifies LSTM-AE baseline</x:v>
      </x:c>
      <x:c r="M9" s="16" t="str">
        <x:v>not_extracted</x:v>
      </x:c>
      <x:c r="N9" s="16" t="str">
        <x:v>Not extracted for direct comparison</x:v>
      </x:c>
      <x:c r="O9" s="23" t="str">
        <x:v>No</x:v>
      </x:c>
      <x:c r="P9" s="16" t="str">
        <x:v>No direct metric comparison approved; see the Direct Metrics sheet.</x:v>
      </x:c>
      <x:c r="Q9" s="16" t="str">
        <x:v>https://arxiv.org/abs/1607.00148</x:v>
      </x:c>
      <x:c r="R9" s="23" t="str">
        <x:v>Core</x:v>
      </x:c>
    </x:row>
    <x:row r="10" ht="74" customHeight="1">
      <x:c r="A10" s="23" t="n">
        <x:v>6</x:v>
      </x:c>
      <x:c r="B10" s="23" t="n">
        <x:v>2016</x:v>
      </x:c>
      <x:c r="C10" s="23" t="str">
        <x:v>A</x:v>
      </x:c>
      <x:c r="D10" s="23" t="str">
        <x:v>health_index</x:v>
      </x:c>
      <x:c r="E10" s="16" t="str">
        <x:v>Multi-Sensor Prognostics using an Unsupervised Health Index based on LSTM Encoder-Decoder</x:v>
      </x:c>
      <x:c r="F10" s="16" t="str">
        <x:v>arXiv / PHM</x:v>
      </x:c>
      <x:c r="G10" s="16" t="str">
        <x:v>C-MAPSS</x:v>
      </x:c>
      <x:c r="H10" s="16" t="str">
        <x:v>Direct-adjacent</x:v>
      </x:c>
      <x:c r="I10" s="16" t="str">
        <x:v>full_text_checked_prior_review</x:v>
      </x:c>
      <x:c r="J10" s="16" t="str">
        <x:v>Maps reconstruction error to a health index and RUL</x:v>
      </x:c>
      <x:c r="K10" s="16" t="str">
        <x:v>Health index/RUL task rather than alert evaluation</x:v>
      </x:c>
      <x:c r="L10" s="16" t="str">
        <x:v>Links reconstruction error to engine degradation</x:v>
      </x:c>
      <x:c r="M10" s="16" t="str">
        <x:v>not_extracted</x:v>
      </x:c>
      <x:c r="N10" s="16" t="str">
        <x:v>Not extracted for direct comparison</x:v>
      </x:c>
      <x:c r="O10" s="23" t="str">
        <x:v>No</x:v>
      </x:c>
      <x:c r="P10" s="16" t="str">
        <x:v>No direct metric comparison approved; see the Direct Metrics sheet.</x:v>
      </x:c>
      <x:c r="Q10" s="16" t="str">
        <x:v>https://arxiv.org/abs/1608.06154</x:v>
      </x:c>
      <x:c r="R10" s="23" t="str">
        <x:v>Core</x:v>
      </x:c>
    </x:row>
    <x:row r="11" ht="74" customHeight="1">
      <x:c r="A11" s="23" t="n">
        <x:v>7</x:v>
      </x:c>
      <x:c r="B11" s="23" t="n">
        <x:v>2020</x:v>
      </x:c>
      <x:c r="C11" s="23" t="str">
        <x:v>A</x:v>
      </x:c>
      <x:c r="D11" s="23" t="str">
        <x:v>direct_cmapss_anomaly</x:v>
      </x:c>
      <x:c r="E11" s="16" t="str">
        <x:v>Autoencoder-based Semi-Supervised Anomaly Detection in Turbofan Engines</x:v>
      </x:c>
      <x:c r="F11" s="16" t="str">
        <x:v>IJACSA</x:v>
      </x:c>
      <x:c r="G11" s="16" t="str">
        <x:v>C-MAPSS</x:v>
      </x:c>
      <x:c r="H11" s="16" t="str">
        <x:v>Direct</x:v>
      </x:c>
      <x:c r="I11" s="16" t="str">
        <x:v>abstract_or_record_checked_prior_review</x:v>
      </x:c>
      <x:c r="J11" s="16" t="str">
        <x:v>Feedforward autoencoder with Bayesian hyperparameter tuning</x:v>
      </x:c>
      <x:c r="K11" s="16" t="str">
        <x:v>Protocol differs from sequence-level FD002 study</x:v>
      </x:c>
      <x:c r="L11" s="16" t="str">
        <x:v>Direct C-MAPSS autoencoder precedent</x:v>
      </x:c>
      <x:c r="M11" s="16" t="str">
        <x:v>not_extracted</x:v>
      </x:c>
      <x:c r="N11" s="16" t="str">
        <x:v>Not extracted for direct comparison</x:v>
      </x:c>
      <x:c r="O11" s="23" t="str">
        <x:v>No</x:v>
      </x:c>
      <x:c r="P11" s="16" t="str">
        <x:v>No direct metric comparison approved; see the Direct Metrics sheet.</x:v>
      </x:c>
      <x:c r="Q11" s="16" t="str">
        <x:v>https://thesai.org/Publications/ViewPaper?Code=IJACSA&amp;Issue=11&amp;SerialNo=5&amp;Volume=11</x:v>
      </x:c>
      <x:c r="R11" s="23" t="str">
        <x:v>Core</x:v>
      </x:c>
    </x:row>
    <x:row r="12" ht="74" customHeight="1">
      <x:c r="A12" s="23" t="n">
        <x:v>8</x:v>
      </x:c>
      <x:c r="B12" s="23" t="n">
        <x:v>2019</x:v>
      </x:c>
      <x:c r="C12" s="23" t="str">
        <x:v>A</x:v>
      </x:c>
      <x:c r="D12" s="23" t="str">
        <x:v>onset</x:v>
      </x:c>
      <x:c r="E12" s="16" t="str">
        <x:v>A One-Class Support Vector Machine Calibration Method for Time Series Change Point Detection</x:v>
      </x:c>
      <x:c r="F12" s="16" t="str">
        <x:v>arXiv / IEEE</x:v>
      </x:c>
      <x:c r="G12" s="16" t="str">
        <x:v>C-MAPSS</x:v>
      </x:c>
      <x:c r="H12" s="16" t="str">
        <x:v>Direct</x:v>
      </x:c>
      <x:c r="I12" s="16" t="str">
        <x:v>full_text_checked_prior_review</x:v>
      </x:c>
      <x:c r="J12" s="16" t="str">
        <x:v>Uses calibrated one-class SVM for health-status change-point detection</x:v>
      </x:c>
      <x:c r="K12" s="16" t="str">
        <x:v>Estimated change point is not physical ground truth</x:v>
      </x:c>
      <x:c r="L12" s="16" t="str">
        <x:v>Alternative to fixed life-fraction onset</x:v>
      </x:c>
      <x:c r="M12" s="16" t="str">
        <x:v>not_extracted</x:v>
      </x:c>
      <x:c r="N12" s="16" t="str">
        <x:v>Not extracted for direct comparison</x:v>
      </x:c>
      <x:c r="O12" s="23" t="str">
        <x:v>No</x:v>
      </x:c>
      <x:c r="P12" s="16" t="str">
        <x:v>No direct metric comparison approved; see the Direct Metrics sheet.</x:v>
      </x:c>
      <x:c r="Q12" s="16" t="str">
        <x:v>https://arxiv.org/abs/1902.06361</x:v>
      </x:c>
      <x:c r="R12" s="23" t="str">
        <x:v>Core</x:v>
      </x:c>
    </x:row>
    <x:row r="13" ht="74" customHeight="1">
      <x:c r="A13" s="23" t="n">
        <x:v>9</x:v>
      </x:c>
      <x:c r="B13" s="23" t="n">
        <x:v>2024</x:v>
      </x:c>
      <x:c r="C13" s="23" t="str">
        <x:v>A</x:v>
      </x:c>
      <x:c r="D13" s="23" t="str">
        <x:v>onset</x:v>
      </x:c>
      <x:c r="E13" s="16" t="str">
        <x:v>A Change Point Detection Integrated Remaining Useful Life Estimation Model under Variable Operating Conditions</x:v>
      </x:c>
      <x:c r="F13" s="16" t="str">
        <x:v>Mechanical Systems and Signal Processing / arXiv</x:v>
      </x:c>
      <x:c r="G13" s="16" t="str">
        <x:v>Six-condition C-MAPSS</x:v>
      </x:c>
      <x:c r="H13" s="16" t="str">
        <x:v>Direct-adjacent</x:v>
      </x:c>
      <x:c r="I13" s="16" t="str">
        <x:v>full_text_checked_prior_review</x:v>
      </x:c>
      <x:c r="J13" s="16" t="str">
        <x:v>Learns device-specific change points under variable conditions</x:v>
      </x:c>
      <x:c r="K13" s="16" t="str">
        <x:v>Optimizes downstream RUL; onset remains model-estimated</x:v>
      </x:c>
      <x:c r="L13" s="16" t="str">
        <x:v>Onset sensitivity and per-engine transition evidence</x:v>
      </x:c>
      <x:c r="M13" s="16" t="str">
        <x:v>not_extracted</x:v>
      </x:c>
      <x:c r="N13" s="16" t="str">
        <x:v>Not extracted for direct comparison</x:v>
      </x:c>
      <x:c r="O13" s="23" t="str">
        <x:v>No</x:v>
      </x:c>
      <x:c r="P13" s="16" t="str">
        <x:v>No direct metric comparison approved; see the Direct Metrics sheet.</x:v>
      </x:c>
      <x:c r="Q13" s="16" t="str">
        <x:v>https://arxiv.org/abs/2401.04351</x:v>
      </x:c>
      <x:c r="R13" s="23" t="str">
        <x:v>Core</x:v>
      </x:c>
    </x:row>
    <x:row r="14" ht="74" customHeight="1">
      <x:c r="A14" s="23" t="n">
        <x:v>10</x:v>
      </x:c>
      <x:c r="B14" s="23" t="n">
        <x:v>2024</x:v>
      </x:c>
      <x:c r="C14" s="23" t="str">
        <x:v>A</x:v>
      </x:c>
      <x:c r="D14" s="23" t="str">
        <x:v>direct_cmapss_anomaly</x:v>
      </x:c>
      <x:c r="E14" s="16" t="str">
        <x:v>Anomaly Detection and Remaining Useful Life Prediction for Turbofan Engines with a Key Point-Based Approach to Secure Health Management</x:v>
      </x:c>
      <x:c r="F14" s="16" t="str">
        <x:v>Sensors</x:v>
      </x:c>
      <x:c r="G14" s="16" t="str">
        <x:v>C-MAPSS</x:v>
      </x:c>
      <x:c r="H14" s="16" t="str">
        <x:v>Direct</x:v>
      </x:c>
      <x:c r="I14" s="16" t="str">
        <x:v>full_text_checked_prior_review</x:v>
      </x:c>
      <x:c r="J14" s="16" t="str">
        <x:v>Combines key-point onset, anomaly detection and RUL</x:v>
      </x:c>
      <x:c r="K14" s="16" t="str">
        <x:v>Joint-task protocol is not directly comparable to unsupervised detector</x:v>
      </x:c>
      <x:c r="L14" s="16" t="str">
        <x:v>Supports key-point/onset modeling</x:v>
      </x:c>
      <x:c r="M14" s="16" t="str">
        <x:v>not_extracted</x:v>
      </x:c>
      <x:c r="N14" s="16" t="str">
        <x:v>Not extracted for direct comparison</x:v>
      </x:c>
      <x:c r="O14" s="23" t="str">
        <x:v>No</x:v>
      </x:c>
      <x:c r="P14" s="16" t="str">
        <x:v>No direct metric comparison approved; see the Direct Metrics sheet.</x:v>
      </x:c>
      <x:c r="Q14" s="16" t="str">
        <x:v>https://www.mdpi.com/1424-8220/24/24/8022</x:v>
      </x:c>
      <x:c r="R14" s="23" t="str">
        <x:v>Core</x:v>
      </x:c>
    </x:row>
    <x:row r="15" ht="74" customHeight="1">
      <x:c r="A15" s="23" t="n">
        <x:v>11</x:v>
      </x:c>
      <x:c r="B15" s="23" t="n">
        <x:v>2025</x:v>
      </x:c>
      <x:c r="C15" s="23" t="str">
        <x:v>A</x:v>
      </x:c>
      <x:c r="D15" s="23" t="str">
        <x:v>direct_cmapss_anomaly</x:v>
      </x:c>
      <x:c r="E15" s="16" t="str">
        <x:v>Aero-engines Anomaly Detection using an Unsupervised Fisher Autoencoder</x:v>
      </x:c>
      <x:c r="F15" s="16" t="str">
        <x:v>IEEE / arXiv</x:v>
      </x:c>
      <x:c r="G15" s="16" t="str">
        <x:v>C-MAPSS</x:v>
      </x:c>
      <x:c r="H15" s="16" t="str">
        <x:v>Direct</x:v>
      </x:c>
      <x:c r="I15" s="16" t="str">
        <x:v>abstract_or_record_checked_prior_review</x:v>
      </x:c>
      <x:c r="J15" s="16" t="str">
        <x:v>Fisher-divergence autoencoder for imbalanced aero-engine anomaly detection</x:v>
      </x:c>
      <x:c r="K15" s="16" t="str">
        <x:v>Preprint/short-conference reporting and protocol differences</x:v>
      </x:c>
      <x:c r="L15" s="16" t="str">
        <x:v>Modern autoencoder comparator and novelty overlap</x:v>
      </x:c>
      <x:c r="M15" s="16" t="str">
        <x:v>not_extracted</x:v>
      </x:c>
      <x:c r="N15" s="16" t="str">
        <x:v>Not extracted for direct comparison</x:v>
      </x:c>
      <x:c r="O15" s="23" t="str">
        <x:v>No</x:v>
      </x:c>
      <x:c r="P15" s="16" t="str">
        <x:v>No direct metric comparison approved; see the Direct Metrics sheet.</x:v>
      </x:c>
      <x:c r="Q15" s="16" t="str">
        <x:v>https://arxiv.org/abs/2502.05428</x:v>
      </x:c>
      <x:c r="R15" s="23" t="str">
        <x:v>Supporting</x:v>
      </x:c>
    </x:row>
    <x:row r="16" ht="74" customHeight="1">
      <x:c r="A16" s="23" t="n">
        <x:v>12</x:v>
      </x:c>
      <x:c r="B16" s="23" t="n">
        <x:v>2025</x:v>
      </x:c>
      <x:c r="C16" s="23" t="str">
        <x:v>B</x:v>
      </x:c>
      <x:c r="D16" s="23" t="str">
        <x:v>direct_cmapss_anomaly</x:v>
      </x:c>
      <x:c r="E16" s="16" t="str">
        <x:v>Anomaly Detection in Complex Dynamical Systems using TDC-AE</x:v>
      </x:c>
      <x:c r="F16" s="16" t="str">
        <x:v>arXiv preprint</x:v>
      </x:c>
      <x:c r="G16" s="16" t="str">
        <x:v>C-MAPSS FD001 and FD003</x:v>
      </x:c>
      <x:c r="H16" s="16" t="str">
        <x:v>Direct</x:v>
      </x:c>
      <x:c r="I16" s="16" t="str">
        <x:v>full_text_checked_prior_review</x:v>
      </x:c>
      <x:c r="J16" s="16" t="str">
        <x:v>Temporal differential consistency improves a compact autoencoder</x:v>
      </x:c>
      <x:c r="K16" s="16" t="str">
        <x:v>Threshold uses proxy labels and results are not FD002</x:v>
      </x:c>
      <x:c r="L16" s="16" t="str">
        <x:v>Efficient modern comparator; exposes label sensitivity</x:v>
      </x:c>
      <x:c r="M16" s="16" t="str">
        <x:v>not_extracted</x:v>
      </x:c>
      <x:c r="N16" s="16" t="str">
        <x:v>Not extracted for direct comparison</x:v>
      </x:c>
      <x:c r="O16" s="23" t="str">
        <x:v>No</x:v>
      </x:c>
      <x:c r="P16" s="16" t="str">
        <x:v>No direct metric comparison approved; see the Direct Metrics sheet.</x:v>
      </x:c>
      <x:c r="Q16" s="16" t="str">
        <x:v>https://arxiv.org/html/2502.19307v3</x:v>
      </x:c>
      <x:c r="R16" s="23" t="str">
        <x:v>Supporting</x:v>
      </x:c>
    </x:row>
    <x:row r="17" ht="74" customHeight="1">
      <x:c r="A17" s="23" t="n">
        <x:v>13</x:v>
      </x:c>
      <x:c r="B17" s="23" t="n">
        <x:v>2026</x:v>
      </x:c>
      <x:c r="C17" s="23" t="str">
        <x:v>B</x:v>
      </x:c>
      <x:c r="D17" s="23" t="str">
        <x:v>direct_cmapss_anomaly</x:v>
      </x:c>
      <x:c r="E17" s="16" t="str">
        <x:v>Early Fault Detection on CMAPSS with Unsupervised LSTM Autoencoders</x:v>
      </x:c>
      <x:c r="F17" s="16" t="str">
        <x:v>arXiv preprint</x:v>
      </x:c>
      <x:c r="G17" s="16" t="str">
        <x:v>C-MAPSS FD001-FD004</x:v>
      </x:c>
      <x:c r="H17" s="16" t="str">
        <x:v>Closest</x:v>
      </x:c>
      <x:c r="I17" s="16" t="str">
        <x:v>full_text_checked_prior_review</x:v>
      </x:c>
      <x:c r="J17" s="16" t="str">
        <x:v>Operating-condition regression, healthy-only LSTM-AE, statistical threshold and persistence</x:v>
      </x:c>
      <x:c r="K17" s="16" t="str">
        <x:v>Same-engine life partition; heuristic 85/15 and final-10% labels; not fully adaptive</x:v>
      </x:c>
      <x:c r="L17" s="16" t="str">
        <x:v>Closest prior work; invalidates first-application claim</x:v>
      </x:c>
      <x:c r="M17" s="16" t="str">
        <x:v>extracted_in_validation_report</x:v>
      </x:c>
      <x:c r="N17" s="16" t="str">
        <x:v>Precision 0.374; recall 0.799; specificity 0.982; F1 0.510 in a different 85/15 and final-10% proxy protocol</x:v>
      </x:c>
      <x:c r="O17" s="23" t="str">
        <x:v>No</x:v>
      </x:c>
      <x:c r="P17" s="16" t="str">
        <x:v>Closest study, but its split, healthy region, labels, threshold, and metric differ from the current validation-proxy PR-AUC.</x:v>
      </x:c>
      <x:c r="Q17" s="16" t="str">
        <x:v>https://arxiv.org/abs/2601.10269</x:v>
      </x:c>
      <x:c r="R17" s="23" t="str">
        <x:v>Core</x:v>
      </x:c>
    </x:row>
    <x:row r="18" ht="74" customHeight="1">
      <x:c r="A18" s="23" t="n">
        <x:v>14</x:v>
      </x:c>
      <x:c r="B18" s="23" t="n">
        <x:v>2025</x:v>
      </x:c>
      <x:c r="C18" s="23" t="str">
        <x:v>A</x:v>
      </x:c>
      <x:c r="D18" s="23" t="str">
        <x:v>residual_anomaly</x:v>
      </x:c>
      <x:c r="E18" s="16" t="str">
        <x:v>RAVEN: Unsupervised Anomaly Detection in Multivariate Time Series through Residual Modeling and Autoencoder Reconstruction</x:v>
      </x:c>
      <x:c r="F18" s="16" t="str">
        <x:v>PHM Asia Pacific</x:v>
      </x:c>
      <x:c r="G18" s="16" t="str">
        <x:v>Real jet-engine test data plus simulation context</x:v>
      </x:c>
      <x:c r="H18" s="16" t="str">
        <x:v>Close</x:v>
      </x:c>
      <x:c r="I18" s="16" t="str">
        <x:v>full_text_checked_prior_review</x:v>
      </x:c>
      <x:c r="J18" s="16" t="str">
        <x:v>Regresses operating effects then models healthy residuals with LSTM-AE; event-level evaluation</x:v>
      </x:c>
      <x:c r="K18" s="16" t="str">
        <x:v>Not the same FD002 benchmark</x:v>
      </x:c>
      <x:c r="L18" s="16" t="str">
        <x:v>Strong residualization and operational-variability precedent</x:v>
      </x:c>
      <x:c r="M18" s="16" t="str">
        <x:v>not_extracted</x:v>
      </x:c>
      <x:c r="N18" s="16" t="str">
        <x:v>Not extracted for direct comparison</x:v>
      </x:c>
      <x:c r="O18" s="23" t="str">
        <x:v>No</x:v>
      </x:c>
      <x:c r="P18" s="16" t="str">
        <x:v>No direct metric comparison approved; see the Direct Metrics sheet.</x:v>
      </x:c>
      <x:c r="Q18" s="16" t="str">
        <x:v>https://papers.phmsociety.org/index.php/phmap/article/view/4647</x:v>
      </x:c>
      <x:c r="R18" s="23" t="str">
        <x:v>Core</x:v>
      </x:c>
    </x:row>
    <x:row r="19" ht="74" customHeight="1">
      <x:c r="A19" s="23" t="n">
        <x:v>15</x:v>
      </x:c>
      <x:c r="B19" s="23" t="n">
        <x:v>2026</x:v>
      </x:c>
      <x:c r="C19" s="23" t="str">
        <x:v>C</x:v>
      </x:c>
      <x:c r="D19" s="23" t="str">
        <x:v>direct_cmapss_anomaly</x:v>
      </x:c>
      <x:c r="E19" s="16" t="str">
        <x:v>Autoencoder-Based Anomaly Detection for Turbofan Engine Sensors Data</x:v>
      </x:c>
      <x:c r="F19" s="16" t="str">
        <x:v>Engineering and Technology Journal</x:v>
      </x:c>
      <x:c r="G19" s="16" t="str">
        <x:v>C-MAPSS FD001</x:v>
      </x:c>
      <x:c r="H19" s="16" t="str">
        <x:v>Direct</x:v>
      </x:c>
      <x:c r="I19" s="16" t="str">
        <x:v>abstract_or_record_checked_prior_review</x:v>
      </x:c>
      <x:c r="J19" s="16" t="str">
        <x:v>Autoencoder reconstruction error with a 95th-percentile threshold</x:v>
      </x:c>
      <x:c r="K19" s="16" t="str">
        <x:v>Lower-quality venue; labels and operational meaning of detected points are weak</x:v>
      </x:c>
      <x:c r="L19" s="16" t="str">
        <x:v>Background only; do not use as central validation</x:v>
      </x:c>
      <x:c r="M19" s="16" t="str">
        <x:v>not_extracted</x:v>
      </x:c>
      <x:c r="N19" s="16" t="str">
        <x:v>Not extracted for direct comparison</x:v>
      </x:c>
      <x:c r="O19" s="23" t="str">
        <x:v>No</x:v>
      </x:c>
      <x:c r="P19" s="16" t="str">
        <x:v>No direct metric comparison approved; see the Direct Metrics sheet.</x:v>
      </x:c>
      <x:c r="Q19" s="16" t="str">
        <x:v>https://everant.org/index.php/etj/article/view/2452</x:v>
      </x:c>
      <x:c r="R19" s="23" t="str">
        <x:v>Background</x:v>
      </x:c>
    </x:row>
    <x:row r="20" ht="74" customHeight="1">
      <x:c r="A20" s="23" t="n">
        <x:v>16</x:v>
      </x:c>
      <x:c r="B20" s="23" t="n">
        <x:v>2022</x:v>
      </x:c>
      <x:c r="C20" s="23" t="str">
        <x:v>B</x:v>
      </x:c>
      <x:c r="D20" s="23" t="str">
        <x:v>degradation_anomaly</x:v>
      </x:c>
      <x:c r="E20" s="16" t="str">
        <x:v>Anomaly Detection in Asset Degradation Process Using Variational Autoencoder</x:v>
      </x:c>
      <x:c r="F20" s="16" t="str">
        <x:v>Sensors</x:v>
      </x:c>
      <x:c r="G20" s="16" t="str">
        <x:v>Industrial degradation monitoring</x:v>
      </x:c>
      <x:c r="H20" s="16" t="str">
        <x:v>Method-adjacent</x:v>
      </x:c>
      <x:c r="I20" s="16" t="str">
        <x:v>abstract_or_record_checked_prior_review</x:v>
      </x:c>
      <x:c r="J20" s="16" t="str">
        <x:v>Uses VAE reconstruction for degradation monitoring and an RUL-based normality boundary</x:v>
      </x:c>
      <x:c r="K20" s="16" t="str">
        <x:v>Not a C-MAPSS FD002 study</x:v>
      </x:c>
      <x:c r="L20" s="16" t="str">
        <x:v>Alternative RUL-threshold proxy</x:v>
      </x:c>
      <x:c r="M20" s="16" t="str">
        <x:v>not_extracted</x:v>
      </x:c>
      <x:c r="N20" s="16" t="str">
        <x:v>Not extracted for direct comparison</x:v>
      </x:c>
      <x:c r="O20" s="23" t="str">
        <x:v>No</x:v>
      </x:c>
      <x:c r="P20" s="16" t="str">
        <x:v>No direct metric comparison approved; see the Direct Metrics sheet.</x:v>
      </x:c>
      <x:c r="Q20" s="16" t="str">
        <x:v>https://www.mdpi.com/1424-8220/22/1/291</x:v>
      </x:c>
      <x:c r="R20" s="23" t="str">
        <x:v>Supporting</x:v>
      </x:c>
    </x:row>
    <x:row r="21" ht="74" customHeight="1">
      <x:c r="A21" s="23" t="n">
        <x:v>17</x:v>
      </x:c>
      <x:c r="B21" s="23" t="n">
        <x:v>2024</x:v>
      </x:c>
      <x:c r="C21" s="23" t="str">
        <x:v>A</x:v>
      </x:c>
      <x:c r="D21" s="23" t="str">
        <x:v>condition_aware</x:v>
      </x:c>
      <x:c r="E21" s="16" t="str">
        <x:v>Gas Turbine Anomaly Detection under Time-Varying Operation Conditions Based on Spectra Alignment and Self-Adaptive Normalization</x:v>
      </x:c>
      <x:c r="F21" s="16" t="str">
        <x:v>Sensors</x:v>
      </x:c>
      <x:c r="G21" s="16" t="str">
        <x:v>Gas-turbine vibration</x:v>
      </x:c>
      <x:c r="H21" s="16" t="str">
        <x:v>Direct-adjacent</x:v>
      </x:c>
      <x:c r="I21" s="16" t="str">
        <x:v>full_text_checked_prior_review</x:v>
      </x:c>
      <x:c r="J21" s="16" t="str">
        <x:v>Addresses condition variation with alignment and self-adaptive normalization</x:v>
      </x:c>
      <x:c r="K21" s="16" t="str">
        <x:v>Different sensors and asset context</x:v>
      </x:c>
      <x:c r="L21" s="16" t="str">
        <x:v>Shows condition-aware normalization is established broadly</x:v>
      </x:c>
      <x:c r="M21" s="16" t="str">
        <x:v>not_extracted</x:v>
      </x:c>
      <x:c r="N21" s="16" t="str">
        <x:v>Not extracted for direct comparison</x:v>
      </x:c>
      <x:c r="O21" s="23" t="str">
        <x:v>No</x:v>
      </x:c>
      <x:c r="P21" s="16" t="str">
        <x:v>No direct metric comparison approved; see the Direct Metrics sheet.</x:v>
      </x:c>
      <x:c r="Q21" s="16" t="str">
        <x:v>https://www.mdpi.com/1424-8220/24/3/941</x:v>
      </x:c>
      <x:c r="R21" s="23" t="str">
        <x:v>Supporting</x:v>
      </x:c>
    </x:row>
    <x:row r="22" ht="74" customHeight="1">
      <x:c r="A22" s="23" t="n">
        <x:v>18</x:v>
      </x:c>
      <x:c r="B22" s="23" t="n">
        <x:v>2023</x:v>
      </x:c>
      <x:c r="C22" s="23" t="str">
        <x:v>A</x:v>
      </x:c>
      <x:c r="D22" s="23" t="str">
        <x:v>condition_aware</x:v>
      </x:c>
      <x:c r="E22" s="16" t="str">
        <x:v>Multiform Informed Machine Learning Based on Piecewise and Weibull for Engine RUL Prediction</x:v>
      </x:c>
      <x:c r="F22" s="16" t="str">
        <x:v>Sensors</x:v>
      </x:c>
      <x:c r="G22" s="16" t="str">
        <x:v>C-MAPSS</x:v>
      </x:c>
      <x:c r="H22" s="16" t="str">
        <x:v>High-adjacent</x:v>
      </x:c>
      <x:c r="I22" s="16" t="str">
        <x:v>full_text_checked_prior_review</x:v>
      </x:c>
      <x:c r="J22" s="16" t="str">
        <x:v>Clusters diverse operating conditions with K-means and normalizes by cluster</x:v>
      </x:c>
      <x:c r="K22" s="16" t="str">
        <x:v>RUL rather than anomaly detection</x:v>
      </x:c>
      <x:c r="L22" s="16" t="str">
        <x:v>Direct precedent for K-means condition-wise normalization</x:v>
      </x:c>
      <x:c r="M22" s="16" t="str">
        <x:v>not_extracted</x:v>
      </x:c>
      <x:c r="N22" s="16" t="str">
        <x:v>Not extracted for direct comparison</x:v>
      </x:c>
      <x:c r="O22" s="23" t="str">
        <x:v>No</x:v>
      </x:c>
      <x:c r="P22" s="16" t="str">
        <x:v>No direct metric comparison approved; see the Direct Metrics sheet.</x:v>
      </x:c>
      <x:c r="Q22" s="16" t="str">
        <x:v>https://www.mdpi.com/1424-8220/23/12/5669</x:v>
      </x:c>
      <x:c r="R22" s="23" t="str">
        <x:v>Supporting</x:v>
      </x:c>
    </x:row>
    <x:row r="23" ht="74" customHeight="1">
      <x:c r="A23" s="23" t="n">
        <x:v>19</x:v>
      </x:c>
      <x:c r="B23" s="23" t="n">
        <x:v>2026</x:v>
      </x:c>
      <x:c r="C23" s="23" t="str">
        <x:v>A</x:v>
      </x:c>
      <x:c r="D23" s="23" t="str">
        <x:v>condition_aware</x:v>
      </x:c>
      <x:c r="E23" s="16" t="str">
        <x:v>Condition-Aware AI for Predictive Maintenance: Dual-Attention CNN-GRU with Per-Regime Scaling</x:v>
      </x:c>
      <x:c r="F23" s="16" t="str">
        <x:v>Expert Systems with Applications</x:v>
      </x:c>
      <x:c r="G23" s="16" t="str">
        <x:v>C-MAPSS FD002</x:v>
      </x:c>
      <x:c r="H23" s="16" t="str">
        <x:v>High-adjacent</x:v>
      </x:c>
      <x:c r="I23" s="16" t="str">
        <x:v>full_text_checked_prior_review</x:v>
      </x:c>
      <x:c r="J23" s="16" t="str">
        <x:v>Uses unsupervised operating-regime clustering and per-regime scaling</x:v>
      </x:c>
      <x:c r="K23" s="16" t="str">
        <x:v>RUL rather than anomaly detection</x:v>
      </x:c>
      <x:c r="L23" s="16" t="str">
        <x:v>Direct precedent invalidating per-regime-scaling novelty</x:v>
      </x:c>
      <x:c r="M23" s="16" t="str">
        <x:v>not_extracted</x:v>
      </x:c>
      <x:c r="N23" s="16" t="str">
        <x:v>Not extracted for direct comparison</x:v>
      </x:c>
      <x:c r="O23" s="23" t="str">
        <x:v>No</x:v>
      </x:c>
      <x:c r="P23" s="16" t="str">
        <x:v>No direct metric comparison approved; see the Direct Metrics sheet.</x:v>
      </x:c>
      <x:c r="Q23" s="16" t="str">
        <x:v>https://www.sciencedirect.com/science/article/pii/S0957417426004951</x:v>
      </x:c>
      <x:c r="R23" s="23" t="str">
        <x:v>Core</x:v>
      </x:c>
    </x:row>
    <x:row r="24" ht="74" customHeight="1">
      <x:c r="A24" s="23" t="n">
        <x:v>20</x:v>
      </x:c>
      <x:c r="B24" s="23" t="n">
        <x:v>2023</x:v>
      </x:c>
      <x:c r="C24" s="23" t="str">
        <x:v>A</x:v>
      </x:c>
      <x:c r="D24" s="23" t="str">
        <x:v>domain_adaptation</x:v>
      </x:c>
      <x:c r="E24" s="16" t="str">
        <x:v>Domain Adaptation via Alignment of Operation Profile for Remaining Useful Lifetime Prediction</x:v>
      </x:c>
      <x:c r="F24" s="16" t="str">
        <x:v>Reliability Engineering &amp; System Safety / arXiv</x:v>
      </x:c>
      <x:c r="G24" s="16" t="str">
        <x:v>N-CMAPSS</x:v>
      </x:c>
      <x:c r="H24" s="16" t="str">
        <x:v>Adjacent</x:v>
      </x:c>
      <x:c r="I24" s="16" t="str">
        <x:v>full_text_checked_prior_review</x:v>
      </x:c>
      <x:c r="J24" s="16" t="str">
        <x:v>Aligns operating profiles for cross-condition generalization</x:v>
      </x:c>
      <x:c r="K24" s="16" t="str">
        <x:v>Different dataset and RUL endpoint</x:v>
      </x:c>
      <x:c r="L24" s="16" t="str">
        <x:v>Alternative to discrete regime normalization</x:v>
      </x:c>
      <x:c r="M24" s="16" t="str">
        <x:v>not_extracted</x:v>
      </x:c>
      <x:c r="N24" s="16" t="str">
        <x:v>Not extracted for direct comparison</x:v>
      </x:c>
      <x:c r="O24" s="23" t="str">
        <x:v>No</x:v>
      </x:c>
      <x:c r="P24" s="16" t="str">
        <x:v>No direct metric comparison approved; see the Direct Metrics sheet.</x:v>
      </x:c>
      <x:c r="Q24" s="16" t="str">
        <x:v>https://arxiv.org/abs/2302.01704</x:v>
      </x:c>
      <x:c r="R24" s="23" t="str">
        <x:v>Supporting</x:v>
      </x:c>
    </x:row>
    <x:row r="25" ht="74" customHeight="1">
      <x:c r="A25" s="23" t="n">
        <x:v>21</x:v>
      </x:c>
      <x:c r="B25" s="23" t="n">
        <x:v>2021</x:v>
      </x:c>
      <x:c r="C25" s="23" t="str">
        <x:v>A</x:v>
      </x:c>
      <x:c r="D25" s="23" t="str">
        <x:v>condition_aware</x:v>
      </x:c>
      <x:c r="E25" s="16" t="str">
        <x:v>A Self-Organizing Map and a Normalizing Multi-Layer Perceptron Approach to Baselining in Prognostics under Dynamic Regimes</x:v>
      </x:c>
      <x:c r="F25" s="16" t="str">
        <x:v>Neurocomputing</x:v>
      </x:c>
      <x:c r="G25" s="16" t="str">
        <x:v>Dynamic operating regimes including C-MAPSS context</x:v>
      </x:c>
      <x:c r="H25" s="16" t="str">
        <x:v>Adjacent</x:v>
      </x:c>
      <x:c r="I25" s="16" t="str">
        <x:v>full_text_checked_prior_review</x:v>
      </x:c>
      <x:c r="J25" s="16" t="str">
        <x:v>Learns operating-condition baselines before degradation assessment</x:v>
      </x:c>
      <x:c r="K25" s="16" t="str">
        <x:v>Prognostics-oriented</x:v>
      </x:c>
      <x:c r="L25" s="16" t="str">
        <x:v>Alternative regression/baselining comparator</x:v>
      </x:c>
      <x:c r="M25" s="16" t="str">
        <x:v>not_extracted</x:v>
      </x:c>
      <x:c r="N25" s="16" t="str">
        <x:v>Not extracted for direct comparison</x:v>
      </x:c>
      <x:c r="O25" s="23" t="str">
        <x:v>No</x:v>
      </x:c>
      <x:c r="P25" s="16" t="str">
        <x:v>No direct metric comparison approved; see the Direct Metrics sheet.</x:v>
      </x:c>
      <x:c r="Q25" s="16" t="str">
        <x:v>https://doi.org/10.1016/j.neucom.2021.05.031</x:v>
      </x:c>
      <x:c r="R25" s="23" t="str">
        <x:v>Supporting</x:v>
      </x:c>
    </x:row>
    <x:row r="26" ht="74" customHeight="1">
      <x:c r="A26" s="23" t="n">
        <x:v>22</x:v>
      </x:c>
      <x:c r="B26" s="23" t="n">
        <x:v>2023</x:v>
      </x:c>
      <x:c r="C26" s="23" t="str">
        <x:v>A</x:v>
      </x:c>
      <x:c r="D26" s="23" t="str">
        <x:v>residual_anomaly</x:v>
      </x:c>
      <x:c r="E26" s="16" t="str">
        <x:v>A Comparison of Residual-based Methods on Fault Detection</x:v>
      </x:c>
      <x:c r="F26" s="16" t="str">
        <x:v>PHM Society Conference</x:v>
      </x:c>
      <x:c r="G26" s="16" t="str">
        <x:v>Industrial multivariate systems</x:v>
      </x:c>
      <x:c r="H26" s="16" t="str">
        <x:v>Method</x:v>
      </x:c>
      <x:c r="I26" s="16" t="str">
        <x:v>full_text_checked_prior_review</x:v>
      </x:c>
      <x:c r="J26" s="16" t="str">
        <x:v>Compares autoencoder residuals with input-output models that condition on operating variables</x:v>
      </x:c>
      <x:c r="K26" s="16" t="str">
        <x:v>Not the FD002 study</x:v>
      </x:c>
      <x:c r="L26" s="16" t="str">
        <x:v>Motivates regression residualization versus AE residuals</x:v>
      </x:c>
      <x:c r="M26" s="16" t="str">
        <x:v>not_extracted</x:v>
      </x:c>
      <x:c r="N26" s="16" t="str">
        <x:v>Not extracted for direct comparison</x:v>
      </x:c>
      <x:c r="O26" s="23" t="str">
        <x:v>No</x:v>
      </x:c>
      <x:c r="P26" s="16" t="str">
        <x:v>No direct metric comparison approved; see the Direct Metrics sheet.</x:v>
      </x:c>
      <x:c r="Q26" s="16" t="str">
        <x:v>https://papers.phmsociety.org/index.php/phmconf/article/view/3444</x:v>
      </x:c>
      <x:c r="R26" s="23" t="str">
        <x:v>Supporting</x:v>
      </x:c>
    </x:row>
    <x:row r="27" ht="74" customHeight="1">
      <x:c r="A27" s="23" t="n">
        <x:v>23</x:v>
      </x:c>
      <x:c r="B27" s="23" t="n">
        <x:v>2008</x:v>
      </x:c>
      <x:c r="C27" s="23" t="str">
        <x:v>A</x:v>
      </x:c>
      <x:c r="D27" s="23" t="str">
        <x:v>classical_baseline</x:v>
      </x:c>
      <x:c r="E27" s="16" t="str">
        <x:v>Isolation Forest</x:v>
      </x:c>
      <x:c r="F27" s="16" t="str">
        <x:v>IEEE ICDM</x:v>
      </x:c>
      <x:c r="G27" s="16" t="str">
        <x:v>General tabular anomaly detection</x:v>
      </x:c>
      <x:c r="H27" s="16" t="str">
        <x:v>Method</x:v>
      </x:c>
      <x:c r="I27" s="16" t="str">
        <x:v>abstract_or_record_checked_prior_review</x:v>
      </x:c>
      <x:c r="J27" s="16" t="str">
        <x:v>Isolation-based anomaly scoring with subsampling</x:v>
      </x:c>
      <x:c r="K27" s="16" t="str">
        <x:v>Window flattening discards temporal order</x:v>
      </x:c>
      <x:c r="L27" s="16" t="str">
        <x:v>Required classical baseline</x:v>
      </x:c>
      <x:c r="M27" s="16" t="str">
        <x:v>not_applicable</x:v>
      </x:c>
      <x:c r="N27" s="16" t="str">
        <x:v>N/A</x:v>
      </x:c>
      <x:c r="O27" s="23" t="str">
        <x:v>No</x:v>
      </x:c>
      <x:c r="P27" s="16" t="str">
        <x:v>No direct metric comparison approved; see the Direct Metrics sheet.</x:v>
      </x:c>
      <x:c r="Q27" s="16" t="str">
        <x:v>https://ieeexplore.ieee.org/document/4781136</x:v>
      </x:c>
      <x:c r="R27" s="23" t="str">
        <x:v>Core</x:v>
      </x:c>
    </x:row>
    <x:row r="28" ht="74" customHeight="1">
      <x:c r="A28" s="23" t="n">
        <x:v>24</x:v>
      </x:c>
      <x:c r="B28" s="23" t="n">
        <x:v>2000</x:v>
      </x:c>
      <x:c r="C28" s="23" t="str">
        <x:v>A</x:v>
      </x:c>
      <x:c r="D28" s="23" t="str">
        <x:v>classical_baseline</x:v>
      </x:c>
      <x:c r="E28" s="16" t="str">
        <x:v>LOF: Identifying Density-Based Local Outliers</x:v>
      </x:c>
      <x:c r="F28" s="16" t="str">
        <x:v>ACM SIGMOD</x:v>
      </x:c>
      <x:c r="G28" s="16" t="str">
        <x:v>General anomaly detection</x:v>
      </x:c>
      <x:c r="H28" s="16" t="str">
        <x:v>Method</x:v>
      </x:c>
      <x:c r="I28" s="16" t="str">
        <x:v>abstract_or_record_checked_prior_review</x:v>
      </x:c>
      <x:c r="J28" s="16" t="str">
        <x:v>Local-density deviation score</x:v>
      </x:c>
      <x:c r="K28" s="16" t="str">
        <x:v>Standard LOF is not an unseen-data novelty detector unless configured appropriately</x:v>
      </x:c>
      <x:c r="L28" s="16" t="str">
        <x:v>Required local-density baseline</x:v>
      </x:c>
      <x:c r="M28" s="16" t="str">
        <x:v>not_applicable</x:v>
      </x:c>
      <x:c r="N28" s="16" t="str">
        <x:v>N/A</x:v>
      </x:c>
      <x:c r="O28" s="23" t="str">
        <x:v>No</x:v>
      </x:c>
      <x:c r="P28" s="16" t="str">
        <x:v>No direct metric comparison approved; see the Direct Metrics sheet.</x:v>
      </x:c>
      <x:c r="Q28" s="16" t="str">
        <x:v>https://dl.acm.org/doi/10.1145/342009.335388</x:v>
      </x:c>
      <x:c r="R28" s="23" t="str">
        <x:v>Core</x:v>
      </x:c>
    </x:row>
    <x:row r="29" ht="74" customHeight="1">
      <x:c r="A29" s="23" t="n">
        <x:v>25</x:v>
      </x:c>
      <x:c r="B29" s="23" t="n">
        <x:v>2001</x:v>
      </x:c>
      <x:c r="C29" s="23" t="str">
        <x:v>A</x:v>
      </x:c>
      <x:c r="D29" s="23" t="str">
        <x:v>classical_baseline</x:v>
      </x:c>
      <x:c r="E29" s="16" t="str">
        <x:v>Estimating the Support of a High-Dimensional Distribution</x:v>
      </x:c>
      <x:c r="F29" s="16" t="str">
        <x:v>Neural Computation</x:v>
      </x:c>
      <x:c r="G29" s="16" t="str">
        <x:v>General one-class learning</x:v>
      </x:c>
      <x:c r="H29" s="16" t="str">
        <x:v>Method</x:v>
      </x:c>
      <x:c r="I29" s="16" t="str">
        <x:v>abstract_or_record_checked_prior_review</x:v>
      </x:c>
      <x:c r="J29" s="16" t="str">
        <x:v>One-class SVM learns the support of normal data</x:v>
      </x:c>
      <x:c r="K29" s="16" t="str">
        <x:v>Sensitive to scaling and hyperparameters</x:v>
      </x:c>
      <x:c r="L29" s="16" t="str">
        <x:v>Baseline and change-point component</x:v>
      </x:c>
      <x:c r="M29" s="16" t="str">
        <x:v>not_applicable</x:v>
      </x:c>
      <x:c r="N29" s="16" t="str">
        <x:v>N/A</x:v>
      </x:c>
      <x:c r="O29" s="23" t="str">
        <x:v>No</x:v>
      </x:c>
      <x:c r="P29" s="16" t="str">
        <x:v>No direct metric comparison approved; see the Direct Metrics sheet.</x:v>
      </x:c>
      <x:c r="Q29" s="16" t="str">
        <x:v>https://doi.org/10.1162/089976601750264965</x:v>
      </x:c>
      <x:c r="R29" s="23" t="str">
        <x:v>Core</x:v>
      </x:c>
    </x:row>
    <x:row r="30" ht="74" customHeight="1">
      <x:c r="A30" s="23" t="n">
        <x:v>26</x:v>
      </x:c>
      <x:c r="B30" s="23" t="n">
        <x:v>2018</x:v>
      </x:c>
      <x:c r="C30" s="23" t="str">
        <x:v>A</x:v>
      </x:c>
      <x:c r="D30" s="23" t="str">
        <x:v>dynamic_threshold</x:v>
      </x:c>
      <x:c r="E30" s="16" t="str">
        <x:v>Detecting Spacecraft Anomalies Using LSTMs and Nonparametric Dynamic Thresholding</x:v>
      </x:c>
      <x:c r="F30" s="16" t="str">
        <x:v>KDD</x:v>
      </x:c>
      <x:c r="G30" s="16" t="str">
        <x:v>NASA spacecraft telemetry</x:v>
      </x:c>
      <x:c r="H30" s="16" t="str">
        <x:v>Method</x:v>
      </x:c>
      <x:c r="I30" s="16" t="str">
        <x:v>full_text_checked_prior_review</x:v>
      </x:c>
      <x:c r="J30" s="16" t="str">
        <x:v>Couples temporal model errors with a dynamic nonparametric threshold</x:v>
      </x:c>
      <x:c r="K30" s="16" t="str">
        <x:v>Different telemetry benchmark and supervised incident context</x:v>
      </x:c>
      <x:c r="L30" s="16" t="str">
        <x:v>Precedent for dynamic thresholding and persistence</x:v>
      </x:c>
      <x:c r="M30" s="16" t="str">
        <x:v>not_extracted</x:v>
      </x:c>
      <x:c r="N30" s="16" t="str">
        <x:v>Not extracted for direct comparison</x:v>
      </x:c>
      <x:c r="O30" s="23" t="str">
        <x:v>No</x:v>
      </x:c>
      <x:c r="P30" s="16" t="str">
        <x:v>No direct metric comparison approved; see the Direct Metrics sheet.</x:v>
      </x:c>
      <x:c r="Q30" s="16" t="str">
        <x:v>https://dl.acm.org/doi/10.1145/3219819.3219845</x:v>
      </x:c>
      <x:c r="R30" s="23" t="str">
        <x:v>Core</x:v>
      </x:c>
    </x:row>
    <x:row r="31" ht="74" customHeight="1">
      <x:c r="A31" s="23" t="n">
        <x:v>27</x:v>
      </x:c>
      <x:c r="B31" s="23" t="n">
        <x:v>2017</x:v>
      </x:c>
      <x:c r="C31" s="23" t="str">
        <x:v>A</x:v>
      </x:c>
      <x:c r="D31" s="23" t="str">
        <x:v>dynamic_threshold</x:v>
      </x:c>
      <x:c r="E31" s="16" t="str">
        <x:v>Anomaly Detection in Streams with Extreme Value Theory</x:v>
      </x:c>
      <x:c r="F31" s="16" t="str">
        <x:v>KDD</x:v>
      </x:c>
      <x:c r="G31" s="16" t="str">
        <x:v>Streaming time series</x:v>
      </x:c>
      <x:c r="H31" s="16" t="str">
        <x:v>Method</x:v>
      </x:c>
      <x:c r="I31" s="16" t="str">
        <x:v>full_text_checked_prior_review</x:v>
      </x:c>
      <x:c r="J31" s="16" t="str">
        <x:v>SPOT controls tail risk without a fixed distributional threshold</x:v>
      </x:c>
      <x:c r="K31" s="16" t="str">
        <x:v>Originally univariate; multivariate score must be aggregated first</x:v>
      </x:c>
      <x:c r="L31" s="16" t="str">
        <x:v>EVT threshold comparator</x:v>
      </x:c>
      <x:c r="M31" s="16" t="str">
        <x:v>not_extracted</x:v>
      </x:c>
      <x:c r="N31" s="16" t="str">
        <x:v>Not extracted for direct comparison</x:v>
      </x:c>
      <x:c r="O31" s="23" t="str">
        <x:v>No</x:v>
      </x:c>
      <x:c r="P31" s="16" t="str">
        <x:v>No direct metric comparison approved; see the Direct Metrics sheet.</x:v>
      </x:c>
      <x:c r="Q31" s="16" t="str">
        <x:v>https://dl.acm.org/doi/10.1145/3097983.3098144</x:v>
      </x:c>
      <x:c r="R31" s="23" t="str">
        <x:v>Core</x:v>
      </x:c>
    </x:row>
    <x:row r="32" ht="74" customHeight="1">
      <x:c r="A32" s="23" t="n">
        <x:v>28</x:v>
      </x:c>
      <x:c r="B32" s="23" t="n">
        <x:v>2019</x:v>
      </x:c>
      <x:c r="C32" s="23" t="str">
        <x:v>A</x:v>
      </x:c>
      <x:c r="D32" s="23" t="str">
        <x:v>deep_baseline</x:v>
      </x:c>
      <x:c r="E32" s="16" t="str">
        <x:v>Robust Anomaly Detection for Multivariate Time Series through Stochastic Recurrent Neural Network</x:v>
      </x:c>
      <x:c r="F32" s="16" t="str">
        <x:v>KDD</x:v>
      </x:c>
      <x:c r="G32" s="16" t="str">
        <x:v>Multivariate time series</x:v>
      </x:c>
      <x:c r="H32" s="16" t="str">
        <x:v>Method</x:v>
      </x:c>
      <x:c r="I32" s="16" t="str">
        <x:v>full_text_checked_prior_review</x:v>
      </x:c>
      <x:c r="J32" s="16" t="str">
        <x:v>OmniAnomaly uses a stochastic recurrent latent-variable model</x:v>
      </x:c>
      <x:c r="K32" s="16" t="str">
        <x:v>High complexity and benchmark protocol differences</x:v>
      </x:c>
      <x:c r="L32" s="16" t="str">
        <x:v>Optional modern baseline</x:v>
      </x:c>
      <x:c r="M32" s="16" t="str">
        <x:v>not_extracted</x:v>
      </x:c>
      <x:c r="N32" s="16" t="str">
        <x:v>Not extracted for direct comparison</x:v>
      </x:c>
      <x:c r="O32" s="23" t="str">
        <x:v>No</x:v>
      </x:c>
      <x:c r="P32" s="16" t="str">
        <x:v>No direct metric comparison approved; see the Direct Metrics sheet.</x:v>
      </x:c>
      <x:c r="Q32" s="16" t="str">
        <x:v>https://dl.acm.org/doi/10.1145/3292500.3330672</x:v>
      </x:c>
      <x:c r="R32" s="23" t="str">
        <x:v>Optional</x:v>
      </x:c>
    </x:row>
    <x:row r="33" ht="74" customHeight="1">
      <x:c r="A33" s="23" t="n">
        <x:v>29</x:v>
      </x:c>
      <x:c r="B33" s="23" t="n">
        <x:v>2020</x:v>
      </x:c>
      <x:c r="C33" s="23" t="str">
        <x:v>A</x:v>
      </x:c>
      <x:c r="D33" s="23" t="str">
        <x:v>deep_baseline</x:v>
      </x:c>
      <x:c r="E33" s="16" t="str">
        <x:v>USAD: UnSupervised Anomaly Detection on Multivariate Time Series</x:v>
      </x:c>
      <x:c r="F33" s="16" t="str">
        <x:v>KDD</x:v>
      </x:c>
      <x:c r="G33" s="16" t="str">
        <x:v>Multivariate time series</x:v>
      </x:c>
      <x:c r="H33" s="16" t="str">
        <x:v>Method</x:v>
      </x:c>
      <x:c r="I33" s="16" t="str">
        <x:v>full_text_checked_prior_review</x:v>
      </x:c>
      <x:c r="J33" s="16" t="str">
        <x:v>Adversarially trained autoencoder ensemble</x:v>
      </x:c>
      <x:c r="K33" s="16" t="str">
        <x:v>Not condition-aware and can be evaluation-protocol sensitive</x:v>
      </x:c>
      <x:c r="L33" s="16" t="str">
        <x:v>Feasible modern comparator</x:v>
      </x:c>
      <x:c r="M33" s="16" t="str">
        <x:v>not_extracted</x:v>
      </x:c>
      <x:c r="N33" s="16" t="str">
        <x:v>Not extracted for direct comparison</x:v>
      </x:c>
      <x:c r="O33" s="23" t="str">
        <x:v>No</x:v>
      </x:c>
      <x:c r="P33" s="16" t="str">
        <x:v>No direct metric comparison approved; see the Direct Metrics sheet.</x:v>
      </x:c>
      <x:c r="Q33" s="16" t="str">
        <x:v>https://dl.acm.org/doi/10.1145/3394486.3403392</x:v>
      </x:c>
      <x:c r="R33" s="23" t="str">
        <x:v>Optional</x:v>
      </x:c>
    </x:row>
    <x:row r="34" ht="74" customHeight="1">
      <x:c r="A34" s="23" t="n">
        <x:v>30</x:v>
      </x:c>
      <x:c r="B34" s="23" t="n">
        <x:v>2020</x:v>
      </x:c>
      <x:c r="C34" s="23" t="str">
        <x:v>A</x:v>
      </x:c>
      <x:c r="D34" s="23" t="str">
        <x:v>deep_baseline</x:v>
      </x:c>
      <x:c r="E34" s="16" t="str">
        <x:v>Multivariate Time-series Anomaly Detection via Graph Attention Network</x:v>
      </x:c>
      <x:c r="F34" s="16" t="str">
        <x:v>IEEE ICDM / arXiv</x:v>
      </x:c>
      <x:c r="G34" s="16" t="str">
        <x:v>Multivariate time series</x:v>
      </x:c>
      <x:c r="H34" s="16" t="str">
        <x:v>Method</x:v>
      </x:c>
      <x:c r="I34" s="16" t="str">
        <x:v>full_text_checked_prior_review</x:v>
      </x:c>
      <x:c r="J34" s="16" t="str">
        <x:v>MTAD-GAT models temporal and feature dependencies</x:v>
      </x:c>
      <x:c r="K34" s="16" t="str">
        <x:v>More complex than LSTM-AE and not guaranteed better</x:v>
      </x:c>
      <x:c r="L34" s="16" t="str">
        <x:v>Optional sensor-dependency comparator</x:v>
      </x:c>
      <x:c r="M34" s="16" t="str">
        <x:v>not_extracted</x:v>
      </x:c>
      <x:c r="N34" s="16" t="str">
        <x:v>Not extracted for direct comparison</x:v>
      </x:c>
      <x:c r="O34" s="23" t="str">
        <x:v>No</x:v>
      </x:c>
      <x:c r="P34" s="16" t="str">
        <x:v>No direct metric comparison approved; see the Direct Metrics sheet.</x:v>
      </x:c>
      <x:c r="Q34" s="16" t="str">
        <x:v>https://arxiv.org/abs/2009.02040</x:v>
      </x:c>
      <x:c r="R34" s="23" t="str">
        <x:v>Optional</x:v>
      </x:c>
    </x:row>
    <x:row r="35" ht="74" customHeight="1">
      <x:c r="A35" s="23" t="n">
        <x:v>31</x:v>
      </x:c>
      <x:c r="B35" s="23" t="n">
        <x:v>2022</x:v>
      </x:c>
      <x:c r="C35" s="23" t="str">
        <x:v>A</x:v>
      </x:c>
      <x:c r="D35" s="23" t="str">
        <x:v>deep_baseline</x:v>
      </x:c>
      <x:c r="E35" s="16" t="str">
        <x:v>TranAD: Deep Transformer Networks for Anomaly Detection in Multivariate Time Series Data</x:v>
      </x:c>
      <x:c r="F35" s="16" t="str">
        <x:v>PVLDB / arXiv</x:v>
      </x:c>
      <x:c r="G35" s="16" t="str">
        <x:v>Multivariate time series</x:v>
      </x:c>
      <x:c r="H35" s="16" t="str">
        <x:v>Method</x:v>
      </x:c>
      <x:c r="I35" s="16" t="str">
        <x:v>full_text_checked_prior_review</x:v>
      </x:c>
      <x:c r="J35" s="16" t="str">
        <x:v>Transformer-based reconstruction with adversarial training</x:v>
      </x:c>
      <x:c r="K35" s="16" t="str">
        <x:v>Reported scores may depend on evaluation conventions</x:v>
      </x:c>
      <x:c r="L35" s="16" t="str">
        <x:v>Optional transformer comparator</x:v>
      </x:c>
      <x:c r="M35" s="16" t="str">
        <x:v>not_extracted</x:v>
      </x:c>
      <x:c r="N35" s="16" t="str">
        <x:v>Not extracted for direct comparison</x:v>
      </x:c>
      <x:c r="O35" s="23" t="str">
        <x:v>No</x:v>
      </x:c>
      <x:c r="P35" s="16" t="str">
        <x:v>No direct metric comparison approved; see the Direct Metrics sheet.</x:v>
      </x:c>
      <x:c r="Q35" s="16" t="str">
        <x:v>https://arxiv.org/abs/2201.07284</x:v>
      </x:c>
      <x:c r="R35" s="23" t="str">
        <x:v>Optional</x:v>
      </x:c>
    </x:row>
    <x:row r="36" ht="74" customHeight="1">
      <x:c r="A36" s="23" t="n">
        <x:v>32</x:v>
      </x:c>
      <x:c r="B36" s="23" t="n">
        <x:v>2022</x:v>
      </x:c>
      <x:c r="C36" s="23" t="str">
        <x:v>A</x:v>
      </x:c>
      <x:c r="D36" s="23" t="str">
        <x:v>deep_baseline</x:v>
      </x:c>
      <x:c r="E36" s="16" t="str">
        <x:v>Anomaly Transformer: Time Series Anomaly Detection with Association Discrepancy</x:v>
      </x:c>
      <x:c r="F36" s="16" t="str">
        <x:v>ICLR</x:v>
      </x:c>
      <x:c r="G36" s="16" t="str">
        <x:v>Multivariate time series</x:v>
      </x:c>
      <x:c r="H36" s="16" t="str">
        <x:v>Method</x:v>
      </x:c>
      <x:c r="I36" s="16" t="str">
        <x:v>full_text_checked_prior_review</x:v>
      </x:c>
      <x:c r="J36" s="16" t="str">
        <x:v>Uses association discrepancy for anomaly scoring</x:v>
      </x:c>
      <x:c r="K36" s="16" t="str">
        <x:v>Complex and benchmark-dependent</x:v>
      </x:c>
      <x:c r="L36" s="16" t="str">
        <x:v>Literature coverage; not necessary for minimum project</x:v>
      </x:c>
      <x:c r="M36" s="16" t="str">
        <x:v>not_extracted</x:v>
      </x:c>
      <x:c r="N36" s="16" t="str">
        <x:v>Not extracted for direct comparison</x:v>
      </x:c>
      <x:c r="O36" s="23" t="str">
        <x:v>No</x:v>
      </x:c>
      <x:c r="P36" s="16" t="str">
        <x:v>No direct metric comparison approved; see the Direct Metrics sheet.</x:v>
      </x:c>
      <x:c r="Q36" s="16" t="str">
        <x:v>https://openreview.net/forum?id=LzQQ89U1qm_</x:v>
      </x:c>
      <x:c r="R36" s="23" t="str">
        <x:v>Optional</x:v>
      </x:c>
    </x:row>
    <x:row r="37" ht="74" customHeight="1">
      <x:c r="A37" s="23" t="n">
        <x:v>33</x:v>
      </x:c>
      <x:c r="B37" s="23" t="n">
        <x:v>2019</x:v>
      </x:c>
      <x:c r="C37" s="23" t="str">
        <x:v>A</x:v>
      </x:c>
      <x:c r="D37" s="23" t="str">
        <x:v>deep_baseline</x:v>
      </x:c>
      <x:c r="E37" s="16" t="str">
        <x:v>Memorizing Normality to Detect Anomaly: Memory-augmented Deep Autoencoder</x:v>
      </x:c>
      <x:c r="F37" s="16" t="str">
        <x:v>ICCV / arXiv</x:v>
      </x:c>
      <x:c r="G37" s="16" t="str">
        <x:v>General anomaly detection</x:v>
      </x:c>
      <x:c r="H37" s="16" t="str">
        <x:v>Method</x:v>
      </x:c>
      <x:c r="I37" s="16" t="str">
        <x:v>full_text_checked_prior_review</x:v>
      </x:c>
      <x:c r="J37" s="16" t="str">
        <x:v>Restricts reconstruction to learned normal prototypes</x:v>
      </x:c>
      <x:c r="K37" s="16" t="str">
        <x:v>Not tailored to C-MAPSS sequences</x:v>
      </x:c>
      <x:c r="L37" s="16" t="str">
        <x:v>Evidence that vanilla AEs may reconstruct anomalies too well</x:v>
      </x:c>
      <x:c r="M37" s="16" t="str">
        <x:v>not_extracted</x:v>
      </x:c>
      <x:c r="N37" s="16" t="str">
        <x:v>Not extracted for direct comparison</x:v>
      </x:c>
      <x:c r="O37" s="23" t="str">
        <x:v>No</x:v>
      </x:c>
      <x:c r="P37" s="16" t="str">
        <x:v>No direct metric comparison approved; see the Direct Metrics sheet.</x:v>
      </x:c>
      <x:c r="Q37" s="16" t="str">
        <x:v>https://arxiv.org/abs/1904.02639</x:v>
      </x:c>
      <x:c r="R37" s="23" t="str">
        <x:v>Optional</x:v>
      </x:c>
    </x:row>
    <x:row r="38" ht="74" customHeight="1">
      <x:c r="A38" s="23" t="n">
        <x:v>34</x:v>
      </x:c>
      <x:c r="B38" s="23" t="n">
        <x:v>2022</x:v>
      </x:c>
      <x:c r="C38" s="23" t="str">
        <x:v>A</x:v>
      </x:c>
      <x:c r="D38" s="23" t="str">
        <x:v>evaluation</x:v>
      </x:c>
      <x:c r="E38" s="16" t="str">
        <x:v>An Evaluation of Anomaly Detection and Diagnosis in Multivariate Time Series</x:v>
      </x:c>
      <x:c r="F38" s="16" t="str">
        <x:v>IEEE TNNLS</x:v>
      </x:c>
      <x:c r="G38" s="16" t="str">
        <x:v>Multiple multivariate benchmarks</x:v>
      </x:c>
      <x:c r="H38" s="16" t="str">
        <x:v>Method-evaluation</x:v>
      </x:c>
      <x:c r="I38" s="16" t="str">
        <x:v>full_text_checked_prior_review</x:v>
      </x:c>
      <x:c r="J38" s="16" t="str">
        <x:v>Finds scoring functions can matter more than model architecture</x:v>
      </x:c>
      <x:c r="K38" s="16" t="str">
        <x:v>Not a C-MAPSS-specific comparison</x:v>
      </x:c>
      <x:c r="L38" s="16" t="str">
        <x:v>Prioritize scoring/threshold ablations</x:v>
      </x:c>
      <x:c r="M38" s="16" t="str">
        <x:v>not_extracted</x:v>
      </x:c>
      <x:c r="N38" s="16" t="str">
        <x:v>Not extracted for direct comparison</x:v>
      </x:c>
      <x:c r="O38" s="23" t="str">
        <x:v>No</x:v>
      </x:c>
      <x:c r="P38" s="16" t="str">
        <x:v>No direct metric comparison approved; see the Direct Metrics sheet.</x:v>
      </x:c>
      <x:c r="Q38" s="16" t="str">
        <x:v>https://pubmed.ncbi.nlm.nih.gov/34464278/</x:v>
      </x:c>
      <x:c r="R38" s="23" t="str">
        <x:v>Core</x:v>
      </x:c>
    </x:row>
    <x:row r="39" ht="74" customHeight="1">
      <x:c r="A39" s="23" t="n">
        <x:v>35</x:v>
      </x:c>
      <x:c r="B39" s="23" t="n">
        <x:v>2018</x:v>
      </x:c>
      <x:c r="C39" s="23" t="str">
        <x:v>A</x:v>
      </x:c>
      <x:c r="D39" s="23" t="str">
        <x:v>evaluation</x:v>
      </x:c>
      <x:c r="E39" s="16" t="str">
        <x:v>Precision and Recall for Time Series</x:v>
      </x:c>
      <x:c r="F39" s="16" t="str">
        <x:v>NeurIPS</x:v>
      </x:c>
      <x:c r="G39" s="16" t="str">
        <x:v>Range-based time-series anomalies</x:v>
      </x:c>
      <x:c r="H39" s="16" t="str">
        <x:v>Method-evaluation</x:v>
      </x:c>
      <x:c r="I39" s="16" t="str">
        <x:v>full_text_checked_prior_review</x:v>
      </x:c>
      <x:c r="J39" s="16" t="str">
        <x:v>Defines range-aware precision and recall</x:v>
      </x:c>
      <x:c r="K39" s="16" t="str">
        <x:v>Requires choices about range weighting</x:v>
      </x:c>
      <x:c r="L39" s="16" t="str">
        <x:v>Event/range metrics</x:v>
      </x:c>
      <x:c r="M39" s="16" t="str">
        <x:v>not_extracted</x:v>
      </x:c>
      <x:c r="N39" s="16" t="str">
        <x:v>Not extracted for direct comparison</x:v>
      </x:c>
      <x:c r="O39" s="23" t="str">
        <x:v>No</x:v>
      </x:c>
      <x:c r="P39" s="16" t="str">
        <x:v>No direct metric comparison approved; see the Direct Metrics sheet.</x:v>
      </x:c>
      <x:c r="Q39" s="16" t="str">
        <x:v>https://papers.nips.cc/paper/7462-precision-and-recall-for-time-series</x:v>
      </x:c>
      <x:c r="R39" s="23" t="str">
        <x:v>Core</x:v>
      </x:c>
    </x:row>
    <x:row r="40" ht="74" customHeight="1">
      <x:c r="A40" s="23" t="n">
        <x:v>36</x:v>
      </x:c>
      <x:c r="B40" s="23" t="n">
        <x:v>2022</x:v>
      </x:c>
      <x:c r="C40" s="23" t="str">
        <x:v>A</x:v>
      </x:c>
      <x:c r="D40" s="23" t="str">
        <x:v>evaluation</x:v>
      </x:c>
      <x:c r="E40" s="16" t="str">
        <x:v>Towards a Rigorous Evaluation of Time-Series Anomaly Detection</x:v>
      </x:c>
      <x:c r="F40" s="16" t="str">
        <x:v>AAAI</x:v>
      </x:c>
      <x:c r="G40" s="16" t="str">
        <x:v>Time-series anomaly benchmarks</x:v>
      </x:c>
      <x:c r="H40" s="16" t="str">
        <x:v>Method-evaluation</x:v>
      </x:c>
      <x:c r="I40" s="16" t="str">
        <x:v>full_text_checked_prior_review</x:v>
      </x:c>
      <x:c r="J40" s="16" t="str">
        <x:v>Shows point adjustment can make random scores look state of the art</x:v>
      </x:c>
      <x:c r="K40" s="16" t="str">
        <x:v>Focuses benchmark evaluation rather than PHM cost</x:v>
      </x:c>
      <x:c r="L40" s="16" t="str">
        <x:v>Prohibits point-adjusted headline F1</x:v>
      </x:c>
      <x:c r="M40" s="16" t="str">
        <x:v>not_extracted</x:v>
      </x:c>
      <x:c r="N40" s="16" t="str">
        <x:v>Not extracted for direct comparison</x:v>
      </x:c>
      <x:c r="O40" s="23" t="str">
        <x:v>No</x:v>
      </x:c>
      <x:c r="P40" s="16" t="str">
        <x:v>No direct metric comparison approved; see the Direct Metrics sheet.</x:v>
      </x:c>
      <x:c r="Q40" s="16" t="str">
        <x:v>https://ojs.aaai.org/index.php/AAAI/article/view/20680</x:v>
      </x:c>
      <x:c r="R40" s="23" t="str">
        <x:v>Core</x:v>
      </x:c>
    </x:row>
    <x:row r="41" ht="74" customHeight="1">
      <x:c r="A41" s="23" t="n">
        <x:v>37</x:v>
      </x:c>
      <x:c r="B41" s="23" t="n">
        <x:v>2022</x:v>
      </x:c>
      <x:c r="C41" s="23" t="str">
        <x:v>A</x:v>
      </x:c>
      <x:c r="D41" s="23" t="str">
        <x:v>evaluation</x:v>
      </x:c>
      <x:c r="E41" s="16" t="str">
        <x:v>Volume Under the Surface: A New Accuracy Evaluation Measure for Time-Series Anomaly Detection</x:v>
      </x:c>
      <x:c r="F41" s="16" t="str">
        <x:v>PVLDB</x:v>
      </x:c>
      <x:c r="G41" s="16" t="str">
        <x:v>Time-series anomaly benchmarks</x:v>
      </x:c>
      <x:c r="H41" s="16" t="str">
        <x:v>Method-evaluation</x:v>
      </x:c>
      <x:c r="I41" s="16" t="str">
        <x:v>full_text_checked_prior_review</x:v>
      </x:c>
      <x:c r="J41" s="16" t="str">
        <x:v>Provides range-aware ROC/PR surfaces across timing tolerances</x:v>
      </x:c>
      <x:c r="K41" s="16" t="str">
        <x:v>More complex to communicate than raw event metrics</x:v>
      </x:c>
      <x:c r="L41" s="16" t="str">
        <x:v>Optional timing-robust metric</x:v>
      </x:c>
      <x:c r="M41" s="16" t="str">
        <x:v>not_extracted</x:v>
      </x:c>
      <x:c r="N41" s="16" t="str">
        <x:v>Not extracted for direct comparison</x:v>
      </x:c>
      <x:c r="O41" s="23" t="str">
        <x:v>No</x:v>
      </x:c>
      <x:c r="P41" s="16" t="str">
        <x:v>No direct metric comparison approved; see the Direct Metrics sheet.</x:v>
      </x:c>
      <x:c r="Q41" s="16" t="str">
        <x:v>https://dl.acm.org/doi/10.14778/3551793.3551830</x:v>
      </x:c>
      <x:c r="R41" s="23" t="str">
        <x:v>Core</x:v>
      </x:c>
    </x:row>
    <x:row r="42" ht="74" customHeight="1">
      <x:c r="A42" s="23" t="n">
        <x:v>38</x:v>
      </x:c>
      <x:c r="B42" s="23" t="n">
        <x:v>2022</x:v>
      </x:c>
      <x:c r="C42" s="23" t="str">
        <x:v>A</x:v>
      </x:c>
      <x:c r="D42" s="23" t="str">
        <x:v>evaluation</x:v>
      </x:c>
      <x:c r="E42" s="16" t="str">
        <x:v>Anomaly Detection in Time Series: A Comprehensive Evaluation</x:v>
      </x:c>
      <x:c r="F42" s="16" t="str">
        <x:v>PVLDB</x:v>
      </x:c>
      <x:c r="G42" s="16" t="str">
        <x:v>Large multi-domain benchmark</x:v>
      </x:c>
      <x:c r="H42" s="16" t="str">
        <x:v>Method-evaluation</x:v>
      </x:c>
      <x:c r="I42" s="16" t="str">
        <x:v>full_text_checked_prior_review</x:v>
      </x:c>
      <x:c r="J42" s="16" t="str">
        <x:v>Finds no detector family consistently dominates</x:v>
      </x:c>
      <x:c r="K42" s="16" t="str">
        <x:v>Not multivariate C-MAPSS-specific</x:v>
      </x:c>
      <x:c r="L42" s="16" t="str">
        <x:v>Justifies strong simple baselines and reproducibility</x:v>
      </x:c>
      <x:c r="M42" s="16" t="str">
        <x:v>not_extracted</x:v>
      </x:c>
      <x:c r="N42" s="16" t="str">
        <x:v>Not extracted for direct comparison</x:v>
      </x:c>
      <x:c r="O42" s="23" t="str">
        <x:v>No</x:v>
      </x:c>
      <x:c r="P42" s="16" t="str">
        <x:v>No direct metric comparison approved; see the Direct Metrics sheet.</x:v>
      </x:c>
      <x:c r="Q42" s="16" t="str">
        <x:v>https://timeeval.github.io/evaluation-paper/</x:v>
      </x:c>
      <x:c r="R42" s="23" t="str">
        <x:v>Core</x:v>
      </x:c>
    </x:row>
    <x:row r="43" ht="74" customHeight="1">
      <x:c r="A43" s="23" t="n">
        <x:v>39</x:v>
      </x:c>
      <x:c r="B43" s="23" t="n">
        <x:v>2023</x:v>
      </x:c>
      <x:c r="C43" s="23" t="str">
        <x:v>A</x:v>
      </x:c>
      <x:c r="D43" s="23" t="str">
        <x:v>evaluation</x:v>
      </x:c>
      <x:c r="E43" s="16" t="str">
        <x:v>Current Time Series Anomaly Detection Benchmarks are Flawed and are Creating the Illusion of Progress</x:v>
      </x:c>
      <x:c r="F43" s="16" t="str">
        <x:v>IEEE TKDE / arXiv</x:v>
      </x:c>
      <x:c r="G43" s="16" t="str">
        <x:v>Popular anomaly benchmarks</x:v>
      </x:c>
      <x:c r="H43" s="16" t="str">
        <x:v>Method-evaluation</x:v>
      </x:c>
      <x:c r="I43" s="16" t="str">
        <x:v>full_text_checked_prior_review</x:v>
      </x:c>
      <x:c r="J43" s="16" t="str">
        <x:v>Documents benchmark flaws, mislabeled/trivial anomalies and unreliable rankings</x:v>
      </x:c>
      <x:c r="K43" s="16" t="str">
        <x:v>Not specifically an FD002 analysis</x:v>
      </x:c>
      <x:c r="L43" s="16" t="str">
        <x:v>Supports conservative comparative claims</x:v>
      </x:c>
      <x:c r="M43" s="16" t="str">
        <x:v>not_extracted</x:v>
      </x:c>
      <x:c r="N43" s="16" t="str">
        <x:v>Not extracted for direct comparison</x:v>
      </x:c>
      <x:c r="O43" s="23" t="str">
        <x:v>No</x:v>
      </x:c>
      <x:c r="P43" s="16" t="str">
        <x:v>No direct metric comparison approved; see the Direct Metrics sheet.</x:v>
      </x:c>
      <x:c r="Q43" s="16" t="str">
        <x:v>https://arxiv.org/abs/2009.13807</x:v>
      </x:c>
      <x:c r="R43" s="23" t="str">
        <x:v>Core</x:v>
      </x:c>
    </x:row>
    <x:row r="44" ht="74" customHeight="1">
      <x:c r="A44" s="23" t="n">
        <x:v>40</x:v>
      </x:c>
      <x:c r="B44" s="23" t="n">
        <x:v>2023</x:v>
      </x:c>
      <x:c r="C44" s="23" t="str">
        <x:v>A</x:v>
      </x:c>
      <x:c r="D44" s="23" t="str">
        <x:v>evaluation</x:v>
      </x:c>
      <x:c r="E44" s="16" t="str">
        <x:v>Navigating the Metric Maze: A Taxonomy of Evaluation Metrics for Anomaly Detection in Time Series</x:v>
      </x:c>
      <x:c r="F44" s="16" t="str">
        <x:v>Data Mining and Knowledge Discovery / arXiv</x:v>
      </x:c>
      <x:c r="G44" s="16" t="str">
        <x:v>Time-series anomaly metrics</x:v>
      </x:c>
      <x:c r="H44" s="16" t="str">
        <x:v>Method-evaluation</x:v>
      </x:c>
      <x:c r="I44" s="16" t="str">
        <x:v>full_text_checked_prior_review</x:v>
      </x:c>
      <x:c r="J44" s="16" t="str">
        <x:v>Taxonomizes metric behavior and domain trade-offs</x:v>
      </x:c>
      <x:c r="K44" s="16" t="str">
        <x:v>Metric choice still requires operational semantics</x:v>
      </x:c>
      <x:c r="L44" s="16" t="str">
        <x:v>Metric selection and sensitivity</x:v>
      </x:c>
      <x:c r="M44" s="16" t="str">
        <x:v>not_extracted</x:v>
      </x:c>
      <x:c r="N44" s="16" t="str">
        <x:v>Not extracted for direct comparison</x:v>
      </x:c>
      <x:c r="O44" s="23" t="str">
        <x:v>No</x:v>
      </x:c>
      <x:c r="P44" s="16" t="str">
        <x:v>No direct metric comparison approved; see the Direct Metrics sheet.</x:v>
      </x:c>
      <x:c r="Q44" s="16" t="str">
        <x:v>https://arxiv.org/abs/2303.01272</x:v>
      </x:c>
      <x:c r="R44" s="23" t="str">
        <x:v>Core</x:v>
      </x:c>
    </x:row>
    <x:row r="45" ht="74" customHeight="1">
      <x:c r="A45" s="23" t="n">
        <x:v>41</x:v>
      </x:c>
      <x:c r="B45" s="23" t="n">
        <x:v>2017</x:v>
      </x:c>
      <x:c r="C45" s="23" t="str">
        <x:v>A</x:v>
      </x:c>
      <x:c r="D45" s="23" t="str">
        <x:v>explainability</x:v>
      </x:c>
      <x:c r="E45" s="16" t="str">
        <x:v>A Unified Approach to Interpreting Model Predictions</x:v>
      </x:c>
      <x:c r="F45" s="16" t="str">
        <x:v>NeurIPS</x:v>
      </x:c>
      <x:c r="G45" s="16" t="str">
        <x:v>General supervised models</x:v>
      </x:c>
      <x:c r="H45" s="16" t="str">
        <x:v>Method</x:v>
      </x:c>
      <x:c r="I45" s="16" t="str">
        <x:v>full_text_checked_prior_review</x:v>
      </x:c>
      <x:c r="J45" s="16" t="str">
        <x:v>Introduces SHAP feature attributions</x:v>
      </x:c>
      <x:c r="K45" s="16" t="str">
        <x:v>Does not guarantee fidelity to a different black-box model through a surrogate</x:v>
      </x:c>
      <x:c r="L45" s="16" t="str">
        <x:v>Foundation for carefully labeled surrogate SHAP</x:v>
      </x:c>
      <x:c r="M45" s="16" t="str">
        <x:v>not_applicable</x:v>
      </x:c>
      <x:c r="N45" s="16" t="str">
        <x:v>N/A</x:v>
      </x:c>
      <x:c r="O45" s="23" t="str">
        <x:v>No</x:v>
      </x:c>
      <x:c r="P45" s="16" t="str">
        <x:v>No direct metric comparison approved; see the Direct Metrics sheet.</x:v>
      </x:c>
      <x:c r="Q45" s="16" t="str">
        <x:v>https://proceedings.neurips.cc/paper/7062-a-unified-approach-to-interpreting-model-predictions.pdf</x:v>
      </x:c>
      <x:c r="R45" s="23" t="str">
        <x:v>Core</x:v>
      </x:c>
    </x:row>
    <x:row r="46" ht="74" customHeight="1">
      <x:c r="A46" s="23" t="n">
        <x:v>42</x:v>
      </x:c>
      <x:c r="B46" s="23" t="n">
        <x:v>2023</x:v>
      </x:c>
      <x:c r="C46" s="23" t="str">
        <x:v>A</x:v>
      </x:c>
      <x:c r="D46" s="23" t="str">
        <x:v>explainability</x:v>
      </x:c>
      <x:c r="E46" s="16" t="str">
        <x:v>A Survey on Explainable Anomaly Detection</x:v>
      </x:c>
      <x:c r="F46" s="16" t="str">
        <x:v>ACM Computing Surveys</x:v>
      </x:c>
      <x:c r="G46" s="16" t="str">
        <x:v>Explainable anomaly detection</x:v>
      </x:c>
      <x:c r="H46" s="16" t="str">
        <x:v>Method-review</x:v>
      </x:c>
      <x:c r="I46" s="16" t="str">
        <x:v>full_text_checked_prior_review</x:v>
      </x:c>
      <x:c r="J46" s="16" t="str">
        <x:v>Organizes explanation types and fidelity issues</x:v>
      </x:c>
      <x:c r="K46" s="16" t="str">
        <x:v>Survey; does not validate one project explanation</x:v>
      </x:c>
      <x:c r="L46" s="16" t="str">
        <x:v>Frames native versus surrogate explanation</x:v>
      </x:c>
      <x:c r="M46" s="16" t="str">
        <x:v>not_extracted</x:v>
      </x:c>
      <x:c r="N46" s="16" t="str">
        <x:v>Not extracted for direct comparison</x:v>
      </x:c>
      <x:c r="O46" s="23" t="str">
        <x:v>No</x:v>
      </x:c>
      <x:c r="P46" s="16" t="str">
        <x:v>No direct metric comparison approved; see the Direct Metrics sheet.</x:v>
      </x:c>
      <x:c r="Q46" s="16" t="str">
        <x:v>https://dl.acm.org/doi/10.1145/3609333</x:v>
      </x:c>
      <x:c r="R46" s="23" t="str">
        <x:v>Core</x:v>
      </x:c>
    </x:row>
    <x:row r="47" ht="74" customHeight="1">
      <x:c r="A47" s="23" t="n">
        <x:v>43</x:v>
      </x:c>
      <x:c r="B47" s="23" t="n">
        <x:v>2019</x:v>
      </x:c>
      <x:c r="C47" s="23" t="str">
        <x:v>A</x:v>
      </x:c>
      <x:c r="D47" s="23" t="str">
        <x:v>explainability</x:v>
      </x:c>
      <x:c r="E47" s="16" t="str">
        <x:v>Anomaly Detection and Diagnosis in Manufacturing Systems</x:v>
      </x:c>
      <x:c r="F47" s="16" t="str">
        <x:v>PHM Society Conference</x:v>
      </x:c>
      <x:c r="G47" s="16" t="str">
        <x:v>Manufacturing multivariate systems</x:v>
      </x:c>
      <x:c r="H47" s="16" t="str">
        <x:v>Method-adjacent</x:v>
      </x:c>
      <x:c r="I47" s="16" t="str">
        <x:v>full_text_checked_prior_review</x:v>
      </x:c>
      <x:c r="J47" s="16" t="str">
        <x:v>Uses variable-wise residual/contribution ideas for diagnosis</x:v>
      </x:c>
      <x:c r="K47" s="16" t="str">
        <x:v>Different industrial assets</x:v>
      </x:c>
      <x:c r="L47" s="16" t="str">
        <x:v>Supports per-sensor contribution analysis</x:v>
      </x:c>
      <x:c r="M47" s="16" t="str">
        <x:v>not_extracted</x:v>
      </x:c>
      <x:c r="N47" s="16" t="str">
        <x:v>Not extracted for direct comparison</x:v>
      </x:c>
      <x:c r="O47" s="23" t="str">
        <x:v>No</x:v>
      </x:c>
      <x:c r="P47" s="16" t="str">
        <x:v>No direct metric comparison approved; see the Direct Metrics sheet.</x:v>
      </x:c>
      <x:c r="Q47" s="16" t="str">
        <x:v>https://papers.phmsociety.org/index.php/phmconf/article/view/815</x:v>
      </x:c>
      <x:c r="R47" s="23" t="str">
        <x:v>Supporting</x:v>
      </x:c>
    </x:row>
    <x:row r="48" ht="74" customHeight="1">
      <x:c r="A48" s="23" t="n">
        <x:v>44</x:v>
      </x:c>
      <x:c r="B48" s="23" t="n">
        <x:v>2022</x:v>
      </x:c>
      <x:c r="C48" s="23" t="str">
        <x:v>B</x:v>
      </x:c>
      <x:c r="D48" s="23" t="str">
        <x:v>explainability</x:v>
      </x:c>
      <x:c r="E48" s="16" t="str">
        <x:v>ReX: A Framework for Incorporating Temporal Information in Model-Agnostic Local Explanation Techniques</x:v>
      </x:c>
      <x:c r="F48" s="16" t="str">
        <x:v>AAAI 2025 / arXiv</x:v>
      </x:c>
      <x:c r="G48" s="16" t="str">
        <x:v>Temporal ML models</x:v>
      </x:c>
      <x:c r="H48" s="16" t="str">
        <x:v>Method</x:v>
      </x:c>
      <x:c r="I48" s="16" t="str">
        <x:v>full_text_checked_prior_review</x:v>
      </x:c>
      <x:c r="J48" s="16" t="str">
        <x:v>Adapts local surrogate sampling and features to temporal inputs</x:v>
      </x:c>
      <x:c r="K48" s="16" t="str">
        <x:v>Not an anomaly-specific or C-MAPSS study</x:v>
      </x:c>
      <x:c r="L48" s="16" t="str">
        <x:v>Shows ordinary KernelSHAP ignores temporal structure</x:v>
      </x:c>
      <x:c r="M48" s="16" t="str">
        <x:v>not_extracted</x:v>
      </x:c>
      <x:c r="N48" s="16" t="str">
        <x:v>Not extracted for direct comparison</x:v>
      </x:c>
      <x:c r="O48" s="23" t="str">
        <x:v>No</x:v>
      </x:c>
      <x:c r="P48" s="16" t="str">
        <x:v>No direct metric comparison approved; see the Direct Metrics sheet.</x:v>
      </x:c>
      <x:c r="Q48" s="16" t="str">
        <x:v>https://arxiv.org/abs/2209.03798</x:v>
      </x:c>
      <x:c r="R48" s="23" t="str">
        <x:v>Supporting</x:v>
      </x:c>
    </x:row>
    <x:row r="49" ht="74" customHeight="1">
      <x:c r="A49" s="23" t="n">
        <x:v>45</x:v>
      </x:c>
      <x:c r="B49" s="23" t="n">
        <x:v>2013</x:v>
      </x:c>
      <x:c r="C49" s="23" t="str">
        <x:v>A</x:v>
      </x:c>
      <x:c r="D49" s="23" t="str">
        <x:v>ensemble</x:v>
      </x:c>
      <x:c r="E49" s="16" t="str">
        <x:v>Outlier Ensembles: An Introduction</x:v>
      </x:c>
      <x:c r="F49" s="16" t="str">
        <x:v>KDD workshop / ACM</x:v>
      </x:c>
      <x:c r="G49" s="16" t="str">
        <x:v>General anomaly detection</x:v>
      </x:c>
      <x:c r="H49" s="16" t="str">
        <x:v>Method</x:v>
      </x:c>
      <x:c r="I49" s="16" t="str">
        <x:v>full_text_checked_prior_review</x:v>
      </x:c>
      <x:c r="J49" s="16" t="str">
        <x:v>Studies aggregation of heterogeneous outlier scores</x:v>
      </x:c>
      <x:c r="K49" s="16" t="str">
        <x:v>Ensembles can be degraded by correlated or weak detectors</x:v>
      </x:c>
      <x:c r="L49" s="16" t="str">
        <x:v>Fusion design and score normalization</x:v>
      </x:c>
      <x:c r="M49" s="16" t="str">
        <x:v>not_applicable</x:v>
      </x:c>
      <x:c r="N49" s="16" t="str">
        <x:v>N/A</x:v>
      </x:c>
      <x:c r="O49" s="23" t="str">
        <x:v>No</x:v>
      </x:c>
      <x:c r="P49" s="16" t="str">
        <x:v>No direct metric comparison approved; see the Direct Metrics sheet.</x:v>
      </x:c>
      <x:c r="Q49" s="16" t="str">
        <x:v>https://dl.acm.org/doi/10.1145/2481244.2481252</x:v>
      </x:c>
      <x:c r="R49" s="23" t="str">
        <x:v>Core</x:v>
      </x:c>
    </x:row>
    <x:row r="50" ht="74" customHeight="1">
      <x:c r="A50" s="23" t="n">
        <x:v>46</x:v>
      </x:c>
      <x:c r="B50" s="23" t="n">
        <x:v>2015</x:v>
      </x:c>
      <x:c r="C50" s="23" t="str">
        <x:v>A</x:v>
      </x:c>
      <x:c r="D50" s="23" t="str">
        <x:v>ensemble</x:v>
      </x:c>
      <x:c r="E50" s="16" t="str">
        <x:v>Theoretical Foundations and Algorithms for Outlier Ensembles</x:v>
      </x:c>
      <x:c r="F50" s="16" t="str">
        <x:v>SIGKDD Explorations</x:v>
      </x:c>
      <x:c r="G50" s="16" t="str">
        <x:v>General anomaly detection</x:v>
      </x:c>
      <x:c r="H50" s="16" t="str">
        <x:v>Method</x:v>
      </x:c>
      <x:c r="I50" s="16" t="str">
        <x:v>full_text_checked_prior_review</x:v>
      </x:c>
      <x:c r="J50" s="16" t="str">
        <x:v>Formalizes outlier-score combination and normalization</x:v>
      </x:c>
      <x:c r="K50" s="16" t="str">
        <x:v>Theory is not a guarantee of benefit on FD002</x:v>
      </x:c>
      <x:c r="L50" s="16" t="str">
        <x:v>Requires calibrated/rank-normalized fusion and ablation</x:v>
      </x:c>
      <x:c r="M50" s="16" t="str">
        <x:v>not_applicable</x:v>
      </x:c>
      <x:c r="N50" s="16" t="str">
        <x:v>N/A</x:v>
      </x:c>
      <x:c r="O50" s="23" t="str">
        <x:v>No</x:v>
      </x:c>
      <x:c r="P50" s="16" t="str">
        <x:v>No direct metric comparison approved; see the Direct Metrics sheet.</x:v>
      </x:c>
      <x:c r="Q50" s="16" t="str">
        <x:v>https://dl.acm.org/doi/10.1145/2830544.2830549</x:v>
      </x:c>
      <x:c r="R50" s="23" t="str">
        <x:v>Core</x:v>
      </x:c>
    </x:row>
    <x:row r="51" ht="74" customHeight="1">
      <x:c r="A51" s="23" t="n">
        <x:v>47</x:v>
      </x:c>
      <x:c r="B51" s="23" t="n">
        <x:v>2012</x:v>
      </x:c>
      <x:c r="C51" s="23" t="str">
        <x:v>A</x:v>
      </x:c>
      <x:c r="D51" s="23" t="str">
        <x:v>ensemble</x:v>
      </x:c>
      <x:c r="E51" s="16" t="str">
        <x:v>A Multiple Classifier System for Prognostics of Aircraft Engines</x:v>
      </x:c>
      <x:c r="F51" s="16" t="str">
        <x:v>IEEE / C-MAPSS decision fusion</x:v>
      </x:c>
      <x:c r="G51" s="16" t="str">
        <x:v>C-MAPSS</x:v>
      </x:c>
      <x:c r="H51" s="16" t="str">
        <x:v>Adjacent</x:v>
      </x:c>
      <x:c r="I51" s="16" t="str">
        <x:v>abstract_or_record_checked_prior_review</x:v>
      </x:c>
      <x:c r="J51" s="16" t="str">
        <x:v>Demonstrates model/decision fusion in turbofan prognostics</x:v>
      </x:c>
      <x:c r="K51" s="16" t="str">
        <x:v>RUL/prognostics endpoint rather than unsupervised anomaly alerting</x:v>
      </x:c>
      <x:c r="L51" s="16" t="str">
        <x:v>Shows turbofan fusion is not new</x:v>
      </x:c>
      <x:c r="M51" s="16" t="str">
        <x:v>not_extracted</x:v>
      </x:c>
      <x:c r="N51" s="16" t="str">
        <x:v>Not extracted for direct comparison</x:v>
      </x:c>
      <x:c r="O51" s="23" t="str">
        <x:v>No</x:v>
      </x:c>
      <x:c r="P51" s="16" t="str">
        <x:v>No direct metric comparison approved; see the Direct Metrics sheet.</x:v>
      </x:c>
      <x:c r="Q51" s="16" t="str">
        <x:v>https://ieeexplore.ieee.org/document/6197000/</x:v>
      </x:c>
      <x:c r="R51" s="23" t="str">
        <x:v>Supporting</x:v>
      </x:c>
    </x:row>
    <x:row r="52" ht="74" customHeight="1">
      <x:c r="A52" s="23" t="n">
        <x:v>48</x:v>
      </x:c>
      <x:c r="B52" s="23" t="n">
        <x:v>2022</x:v>
      </x:c>
      <x:c r="C52" s="23" t="str">
        <x:v>A</x:v>
      </x:c>
      <x:c r="D52" s="23" t="str">
        <x:v>online_drift</x:v>
      </x:c>
      <x:c r="E52" s="16" t="str">
        <x:v>Adaptive Model Pooling for Online Deep Anomaly Detection from a Complex Evolving Data Stream</x:v>
      </x:c>
      <x:c r="F52" s="16" t="str">
        <x:v>KDD</x:v>
      </x:c>
      <x:c r="G52" s="16" t="str">
        <x:v>Streaming datasets with concept drift</x:v>
      </x:c>
      <x:c r="H52" s="16" t="str">
        <x:v>Method</x:v>
      </x:c>
      <x:c r="I52" s="16" t="str">
        <x:v>full_text_checked_prior_review</x:v>
      </x:c>
      <x:c r="J52" s="16" t="str">
        <x:v>ARCUS separates concept-driven inference from drift-aware model-pool updates</x:v>
      </x:c>
      <x:c r="K52" s="16" t="str">
        <x:v>Not C-MAPSS and substantially more complex</x:v>
      </x:c>
      <x:c r="L52" s="16" t="str">
        <x:v>Evidence that safe adaptation needs explicit drift logic</x:v>
      </x:c>
      <x:c r="M52" s="16" t="str">
        <x:v>not_extracted</x:v>
      </x:c>
      <x:c r="N52" s="16" t="str">
        <x:v>Not extracted for direct comparison</x:v>
      </x:c>
      <x:c r="O52" s="23" t="str">
        <x:v>No</x:v>
      </x:c>
      <x:c r="P52" s="16" t="str">
        <x:v>No direct metric comparison approved; see the Direct Metrics sheet.</x:v>
      </x:c>
      <x:c r="Q52" s="16" t="str">
        <x:v>https://arxiv.org/abs/2206.04792</x:v>
      </x:c>
      <x:c r="R52" s="23" t="str">
        <x:v>Supporting</x:v>
      </x:c>
    </x:row>
    <x:row r="53" ht="74" customHeight="1">
      <x:c r="A53" s="23" t="n">
        <x:v>49</x:v>
      </x:c>
      <x:c r="B53" s="23" t="n">
        <x:v>2023</x:v>
      </x:c>
      <x:c r="C53" s="23" t="str">
        <x:v>A</x:v>
      </x:c>
      <x:c r="D53" s="23" t="str">
        <x:v>online_drift</x:v>
      </x:c>
      <x:c r="E53" s="16" t="str">
        <x:v>Autoencoder-based Anomaly Detection in Streaming Data with Incremental Learning and Concept Drift Adaptation</x:v>
      </x:c>
      <x:c r="F53" s="16" t="str">
        <x:v>IJCNN</x:v>
      </x:c>
      <x:c r="G53" s="16" t="str">
        <x:v>Streaming imbalanced datasets</x:v>
      </x:c>
      <x:c r="H53" s="16" t="str">
        <x:v>Method</x:v>
      </x:c>
      <x:c r="I53" s="16" t="str">
        <x:v>full_text_checked_prior_review</x:v>
      </x:c>
      <x:c r="J53" s="16" t="str">
        <x:v>Combines incremental AE learning with explicit drift detection</x:v>
      </x:c>
      <x:c r="K53" s="16" t="str">
        <x:v>Not a turbofan benchmark</x:v>
      </x:c>
      <x:c r="L53" s="16" t="str">
        <x:v>Contrasts with blindly updating thresholds on every score</x:v>
      </x:c>
      <x:c r="M53" s="16" t="str">
        <x:v>not_extracted</x:v>
      </x:c>
      <x:c r="N53" s="16" t="str">
        <x:v>Not extracted for direct comparison</x:v>
      </x:c>
      <x:c r="O53" s="23" t="str">
        <x:v>No</x:v>
      </x:c>
      <x:c r="P53" s="16" t="str">
        <x:v>No direct metric comparison approved; see the Direct Metrics sheet.</x:v>
      </x:c>
      <x:c r="Q53" s="16" t="str">
        <x:v>https://arxiv.org/abs/2305.08977</x:v>
      </x:c>
      <x:c r="R53" s="23" t="str">
        <x:v>Supporting</x:v>
      </x:c>
    </x:row>
    <x:row r="54" ht="74" customHeight="1">
      <x:c r="A54" s="23" t="n">
        <x:v>50</x:v>
      </x:c>
      <x:c r="B54" s="23" t="n">
        <x:v>2024</x:v>
      </x:c>
      <x:c r="C54" s="23" t="str">
        <x:v>A</x:v>
      </x:c>
      <x:c r="D54" s="23" t="str">
        <x:v>feature_scaling</x:v>
      </x:c>
      <x:c r="E54" s="16" t="str">
        <x:v>The Impact of Neglecting Feature Scaling in K-means Clustering</x:v>
      </x:c>
      <x:c r="F54" s="16" t="str">
        <x:v>Peer-reviewed open-access study</x:v>
      </x:c>
      <x:c r="G54" s="16" t="str">
        <x:v>K-means benchmarks</x:v>
      </x:c>
      <x:c r="H54" s="16" t="str">
        <x:v>Method</x:v>
      </x:c>
      <x:c r="I54" s="16" t="str">
        <x:v>full_text_checked_prior_review</x:v>
      </x:c>
      <x:c r="J54" s="16" t="str">
        <x:v>Demonstrates that feature scale changes Euclidean cluster assignments and quality</x:v>
      </x:c>
      <x:c r="K54" s="16" t="str">
        <x:v>Not C-MAPSS-specific</x:v>
      </x:c>
      <x:c r="L54" s="16" t="str">
        <x:v>Requires scaling op1/op2/op3 before K-means</x:v>
      </x:c>
      <x:c r="M54" s="16" t="str">
        <x:v>not_applicable</x:v>
      </x:c>
      <x:c r="N54" s="16" t="str">
        <x:v>N/A</x:v>
      </x:c>
      <x:c r="O54" s="23" t="str">
        <x:v>No</x:v>
      </x:c>
      <x:c r="P54" s="16" t="str">
        <x:v>No direct metric comparison approved; see the Direct Metrics sheet.</x:v>
      </x:c>
      <x:c r="Q54" s="16" t="str">
        <x:v>https://pmc.ncbi.nlm.nih.gov/articles/PMC11623793/</x:v>
      </x:c>
      <x:c r="R54" s="23" t="str">
        <x:v>Core</x:v>
      </x:c>
    </x:row>
    <x:row r="55" ht="74" customHeight="1">
      <x:c r="A55" s="23" t="n">
        <x:v>51</x:v>
      </x:c>
      <x:c r="B55" s="23" t="n">
        <x:v>2024</x:v>
      </x:c>
      <x:c r="C55" s="23" t="str">
        <x:v>A</x:v>
      </x:c>
      <x:c r="D55" s="23" t="str">
        <x:v>aeroengine_fault_detection</x:v>
      </x:c>
      <x:c r="E55" s="16" t="str">
        <x:v>Aero-Engine Fault Detection with an LSTM Auto-Encoder and Self-Attention Mechanism</x:v>
      </x:c>
      <x:c r="F55" s="16" t="str">
        <x:v>Machines</x:v>
      </x:c>
      <x:c r="G55" s="16" t="str">
        <x:v>Aero-engine multivariate data</x:v>
      </x:c>
      <x:c r="H55" s="16" t="str">
        <x:v>Direct-adjacent</x:v>
      </x:c>
      <x:c r="I55" s="16" t="str">
        <x:v>full_text_checked_prior_review</x:v>
      </x:c>
      <x:c r="J55" s="16" t="str">
        <x:v>Combines LSTM-AE and self-attention for fault detection</x:v>
      </x:c>
      <x:c r="K55" s="16" t="str">
        <x:v>Dataset/protocol not identical to FD002 project</x:v>
      </x:c>
      <x:c r="L55" s="16" t="str">
        <x:v>Additional aero-engine sequence-model precedent</x:v>
      </x:c>
      <x:c r="M55" s="16" t="str">
        <x:v>not_extracted</x:v>
      </x:c>
      <x:c r="N55" s="16" t="str">
        <x:v>Not extracted for direct comparison</x:v>
      </x:c>
      <x:c r="O55" s="23" t="str">
        <x:v>No</x:v>
      </x:c>
      <x:c r="P55" s="16" t="str">
        <x:v>No direct metric comparison approved; see the Direct Metrics sheet.</x:v>
      </x:c>
      <x:c r="Q55" s="16" t="str">
        <x:v>https://www.mdpi.com/2075-1702/12/12/879</x:v>
      </x:c>
      <x:c r="R55" s="23" t="str">
        <x:v>Supporting</x:v>
      </x:c>
    </x:row>
    <x:row r="56" ht="74" customHeight="1">
      <x:c r="A56" s="23" t="n">
        <x:v>52</x:v>
      </x:c>
      <x:c r="B56" s="23" t="n">
        <x:v>2026</x:v>
      </x:c>
      <x:c r="C56" s="23" t="str">
        <x:v>A</x:v>
      </x:c>
      <x:c r="D56" s="23" t="str">
        <x:v>state_aware_rul</x:v>
      </x:c>
      <x:c r="E56" s="16" t="str">
        <x:v>Bifurcated Remaining Useful Life Prediction: A Hybrid Prognostic Framework</x:v>
      </x:c>
      <x:c r="F56" s="16" t="str">
        <x:v>PHM Europe</x:v>
      </x:c>
      <x:c r="G56" s="16" t="str">
        <x:v>C-MAPSS</x:v>
      </x:c>
      <x:c r="H56" s="16" t="str">
        <x:v>Adjacent</x:v>
      </x:c>
      <x:c r="I56" s="16" t="str">
        <x:v>full_text_checked_prior_review</x:v>
      </x:c>
      <x:c r="J56" s="16" t="str">
        <x:v>Uses an LSTM autoencoder trained on nominal data with an RUL&gt;150 state boundary</x:v>
      </x:c>
      <x:c r="K56" s="16" t="str">
        <x:v>RUL endpoint and 2026 publication; not direct detector benchmark</x:v>
      </x:c>
      <x:c r="L56" s="16" t="str">
        <x:v>Supports RUL-threshold normality sensitivity</x:v>
      </x:c>
      <x:c r="M56" s="16" t="str">
        <x:v>not_extracted</x:v>
      </x:c>
      <x:c r="N56" s="16" t="str">
        <x:v>Not extracted for direct comparison</x:v>
      </x:c>
      <x:c r="O56" s="23" t="str">
        <x:v>No</x:v>
      </x:c>
      <x:c r="P56" s="16" t="str">
        <x:v>No direct metric comparison approved; see the Direct Metrics sheet.</x:v>
      </x:c>
      <x:c r="Q56" s="16" t="str">
        <x:v>https://www.papers.phmsociety.org/index.php/phme/article/view/4903</x:v>
      </x:c>
      <x:c r="R56" s="23" t="str">
        <x:v>Supporting</x:v>
      </x:c>
    </x:row>
    <x:row r="57" ht="74" customHeight="1">
      <x:c r="A57" s="23" t="n">
        <x:v>53</x:v>
      </x:c>
      <x:c r="B57" s="23" t="n">
        <x:v>2007</x:v>
      </x:c>
      <x:c r="C57" s="23" t="str">
        <x:v>A</x:v>
      </x:c>
      <x:c r="D57" s="23" t="str">
        <x:v>dataset_documentation</x:v>
      </x:c>
      <x:c r="E57" s="16" t="str">
        <x:v>User's Guide for the Commercial Modular Aero-Propulsion System Simulation (C-MAPSS)</x:v>
      </x:c>
      <x:c r="F57" s="16" t="str">
        <x:v>NASA Technical Memorandum 2007-215026</x:v>
      </x:c>
      <x:c r="G57" s="16" t="str">
        <x:v>C-MAPSS simulator</x:v>
      </x:c>
      <x:c r="H57" s="16" t="str">
        <x:v>Foundational</x:v>
      </x:c>
      <x:c r="I57" s="16" t="str">
        <x:v>official_record_checked</x:v>
      </x:c>
      <x:c r="J57" s="16" t="str">
        <x:v>Documents the simulator architecture, variables, interfaces, and intended use behind C-MAPSS-generated studies.</x:v>
      </x:c>
      <x:c r="K57" s="16" t="str">
        <x:v>A simulator guide, not an anomaly-detection benchmark or source of cycle-level degradation labels.</x:v>
      </x:c>
      <x:c r="L57" s="16" t="str">
        <x:v>Dataset provenance, variable interpretation, and limits of claims about physical engine behavior.</x:v>
      </x:c>
      <x:c r="M57" s="16" t="str">
        <x:v>not_applicable</x:v>
      </x:c>
      <x:c r="N57" s="16" t="str">
        <x:v>N/A</x:v>
      </x:c>
      <x:c r="O57" s="23" t="str">
        <x:v>No</x:v>
      </x:c>
      <x:c r="P57" s="16" t="str">
        <x:v>No detector is evaluated.</x:v>
      </x:c>
      <x:c r="Q57" s="16" t="str">
        <x:v>https://ntrs.nasa.gov/citations/20070034949</x:v>
      </x:c>
      <x:c r="R57" s="23" t="str">
        <x:v>Core</x:v>
      </x:c>
    </x:row>
    <x:row r="58" ht="74" customHeight="1">
      <x:c r="A58" s="23" t="n">
        <x:v>54</x:v>
      </x:c>
      <x:c r="B58" s="23" t="n">
        <x:v>2021</x:v>
      </x:c>
      <x:c r="C58" s="23" t="str">
        <x:v>A</x:v>
      </x:c>
      <x:c r="D58" s="23" t="str">
        <x:v>dataset</x:v>
      </x:c>
      <x:c r="E58" s="16" t="str">
        <x:v>Aircraft Engine Run-to-Failure Dataset under Real Flight Conditions for Prognostics and Diagnostics</x:v>
      </x:c>
      <x:c r="F58" s="16" t="str">
        <x:v>Data</x:v>
      </x:c>
      <x:c r="G58" s="16" t="str">
        <x:v>N-CMAPSS</x:v>
      </x:c>
      <x:c r="H58" s="16" t="str">
        <x:v>Foundational-adjacent</x:v>
      </x:c>
      <x:c r="I58" s="16" t="str">
        <x:v>full_text_checked</x:v>
      </x:c>
      <x:c r="J58" s="16" t="str">
        <x:v>Introduces N-CMAPSS with realistic flight profiles and component-level degradation for prognostics and diagnostics.</x:v>
      </x:c>
      <x:c r="K58" s="16" t="str">
        <x:v>N-CMAPSS is not interchangeable with the older FD002 benchmark and is substantially larger.</x:v>
      </x:c>
      <x:c r="L58" s="16" t="str">
        <x:v>Candidate external/future validation dataset and evidence for realistic operating-profile variation.</x:v>
      </x:c>
      <x:c r="M58" s="16" t="str">
        <x:v>not_applicable</x:v>
      </x:c>
      <x:c r="N58" s="16" t="str">
        <x:v>N/A</x:v>
      </x:c>
      <x:c r="O58" s="23" t="str">
        <x:v>No</x:v>
      </x:c>
      <x:c r="P58" s="16" t="str">
        <x:v>Dataset paper; no detector metric comparison.</x:v>
      </x:c>
      <x:c r="Q58" s="16" t="str">
        <x:v>https://www.mdpi.com/2306-5729/6/1/5</x:v>
      </x:c>
      <x:c r="R58" s="23" t="str">
        <x:v>Supporting</x:v>
      </x:c>
    </x:row>
    <x:row r="59" ht="74" customHeight="1">
      <x:c r="A59" s="23" t="n">
        <x:v>55</x:v>
      </x:c>
      <x:c r="B59" s="23" t="n">
        <x:v>2016</x:v>
      </x:c>
      <x:c r="C59" s="23" t="str">
        <x:v>A</x:v>
      </x:c>
      <x:c r="D59" s="23" t="str">
        <x:v>aerospace_anomaly</x:v>
      </x:c>
      <x:c r="E59" s="16" t="str">
        <x:v>Anomaly Detection and Fault Disambiguation in Large Flight Data: A Multi-modal Deep Auto-encoder Approach</x:v>
      </x:c>
      <x:c r="F59" s="16" t="str">
        <x:v>Annual Conference of the PHM Society</x:v>
      </x:c>
      <x:c r="G59" s="16" t="str">
        <x:v>Aircraft electromechanical actuator; multiple operating conditions</x:v>
      </x:c>
      <x:c r="H59" s="16" t="str">
        <x:v>Direct-adjacent</x:v>
      </x:c>
      <x:c r="I59" s="16" t="str">
        <x:v>full_text_checked</x:v>
      </x:c>
      <x:c r="J59" s="16" t="str">
        <x:v>Trains a deep autoencoder on nominal multi-sensor windows; uses total and sensor-wise reconstruction error for detection and disambiguation.</x:v>
      </x:c>
      <x:c r="K59" s="16" t="str">
        <x:v>Not FD002 and faults are experimentally defined rather than gradual run-to-failure proxy labels.</x:v>
      </x:c>
      <x:c r="L59" s="16" t="str">
        <x:v>Strong precedent for reconstruction scoring and native per-sensor contribution explanations.</x:v>
      </x:c>
      <x:c r="M59" s="16" t="str">
        <x:v>extracted</x:v>
      </x:c>
      <x:c r="N59" s="16" t="str">
        <x:v>Detection rate ~97.8%; zero false alarms in the reported setup</x:v>
      </x:c>
      <x:c r="O59" s="23" t="str">
        <x:v>No</x:v>
      </x:c>
      <x:c r="P59" s="16" t="str">
        <x:v>Different asset, fault construction, split, and metric definitions.</x:v>
      </x:c>
      <x:c r="Q59" s="16" t="str">
        <x:v>https://papers.phmsociety.org/index.php/phmconf/article/view/2549</x:v>
      </x:c>
      <x:c r="R59" s="23" t="str">
        <x:v>Core</x:v>
      </x:c>
    </x:row>
    <x:row r="60" ht="74" customHeight="1">
      <x:c r="A60" s="23" t="n">
        <x:v>56</x:v>
      </x:c>
      <x:c r="B60" s="23" t="n">
        <x:v>2019</x:v>
      </x:c>
      <x:c r="C60" s="23" t="str">
        <x:v>A</x:v>
      </x:c>
      <x:c r="D60" s="23" t="str">
        <x:v>residual_anomaly</x:v>
      </x:c>
      <x:c r="E60" s="16" t="str">
        <x:v>Hybrid Deep Fault Detection and Isolation: Combining Deep Neural Networks and System Performance Models</x:v>
      </x:c>
      <x:c r="F60" s="16" t="str">
        <x:v>International Journal of Prognostics and Health Management</x:v>
      </x:c>
      <x:c r="G60" s="16" t="str">
        <x:v>C-MAPSS dynamic model; healthy plus four fault conditions</x:v>
      </x:c>
      <x:c r="H60" s="16" t="str">
        <x:v>Direct-adjacent</x:v>
      </x:c>
      <x:c r="I60" s="16" t="str">
        <x:v>full_text_checked</x:v>
      </x:c>
      <x:c r="J60" s="16" t="str">
        <x:v>Combines operating inputs and physics-model residual or calibrated virtual variables with AE/VAE/HELM/OCSVM diagnostics.</x:v>
      </x:c>
      <x:c r="K60" s="16" t="str">
        <x:v>Uses a separately generated fault-diagnostics dataset, not FD002 gradual-degradation proxies.</x:v>
      </x:c>
      <x:c r="L60" s="16" t="str">
        <x:v>Evidence for residualization as a condition-aware comparator and for separating detection from fault isolation.</x:v>
      </x:c>
      <x:c r="M60" s="16" t="str">
        <x:v>extracted</x:v>
      </x:c>
      <x:c r="N60" s="16" t="str">
        <x:v>AE accuracy: 24.5% raw inputs; 98.7% residual inputs; 100.0% calibrated-model inputs (mean of 10 runs)</x:v>
      </x:c>
      <x:c r="O60" s="23" t="str">
        <x:v>No</x:v>
      </x:c>
      <x:c r="P60" s="16" t="str">
        <x:v>Accuracy on known simulated faults is not comparable with FD002 proxy PR-AUC.</x:v>
      </x:c>
      <x:c r="Q60" s="16" t="str">
        <x:v>https://papers.phmsociety.org/index.php/ijphm/article/view/2621</x:v>
      </x:c>
      <x:c r="R60" s="23" t="str">
        <x:v>Core</x:v>
      </x:c>
    </x:row>
    <x:row r="61" ht="74" customHeight="1">
      <x:c r="A61" s="23" t="n">
        <x:v>57</x:v>
      </x:c>
      <x:c r="B61" s="23" t="n">
        <x:v>2019</x:v>
      </x:c>
      <x:c r="C61" s="23" t="str">
        <x:v>A</x:v>
      </x:c>
      <x:c r="D61" s="23" t="str">
        <x:v>condition_aware</x:v>
      </x:c>
      <x:c r="E61" s="16" t="str">
        <x:v>Operating Condition-Invariant Neural Network-based Prognostics Methods Applied on Turbofan Aircraft Engines</x:v>
      </x:c>
      <x:c r="F61" s="16" t="str">
        <x:v>Annual Conference of the PHM Society</x:v>
      </x:c>
      <x:c r="G61" s="16" t="str">
        <x:v>C-MAPSS TEDS and PHM2008</x:v>
      </x:c>
      <x:c r="H61" s="16" t="str">
        <x:v>Adjacent</x:v>
      </x:c>
      <x:c r="I61" s="16" t="str">
        <x:v>full_text_checked</x:v>
      </x:c>
      <x:c r="J61" s="16" t="str">
        <x:v>Studies preprocessing and neural architectures with the goal of reducing operating-condition dependence.</x:v>
      </x:c>
      <x:c r="K61" s="16" t="str">
        <x:v>RUL prediction rather than anomaly alerting; timeliness and accuracy trade-offs use different endpoints.</x:v>
      </x:c>
      <x:c r="L61" s="16" t="str">
        <x:v>Supports the central need for careful EDA and operating-condition treatment before modeling.</x:v>
      </x:c>
      <x:c r="M61" s="16" t="str">
        <x:v>not_extracted</x:v>
      </x:c>
      <x:c r="N61" s="16" t="str">
        <x:v>RUL metrics; not extracted for anomaly comparison</x:v>
      </x:c>
      <x:c r="O61" s="23" t="str">
        <x:v>No</x:v>
      </x:c>
      <x:c r="P61" s="16" t="str">
        <x:v>Different task and outcome.</x:v>
      </x:c>
      <x:c r="Q61" s="16" t="str">
        <x:v>https://papers.phmsociety.org/index.php/phmconf/article/view/786</x:v>
      </x:c>
      <x:c r="R61" s="23" t="str">
        <x:v>Supporting</x:v>
      </x:c>
    </x:row>
    <x:row r="62" ht="74" customHeight="1">
      <x:c r="A62" s="23" t="n">
        <x:v>58</x:v>
      </x:c>
      <x:c r="B62" s="23" t="n">
        <x:v>2023</x:v>
      </x:c>
      <x:c r="C62" s="23" t="str">
        <x:v>A</x:v>
      </x:c>
      <x:c r="D62" s="23" t="str">
        <x:v>data_engineering</x:v>
      </x:c>
      <x:c r="E62" s="16" t="str">
        <x:v>Data-Driven Prognostics and Diagnostics of Industrial Machinery: A Turbofan Engine Case Study</x:v>
      </x:c>
      <x:c r="F62" s="16" t="str">
        <x:v>PHM Asia Pacific</x:v>
      </x:c>
      <x:c r="G62" s="16" t="str">
        <x:v>N-CMAPSS</x:v>
      </x:c>
      <x:c r="H62" s="16" t="str">
        <x:v>Adjacent</x:v>
      </x:c>
      <x:c r="I62" s="16" t="str">
        <x:v>full_text_checked</x:v>
      </x:c>
      <x:c r="J62" s="16" t="str">
        <x:v>Examines efficient organization and transformation of large multivariate run-to-failure data for prognostics and diagnostics workflows.</x:v>
      </x:c>
      <x:c r="K62" s="16" t="str">
        <x:v>Focus is data organization and RUL workflow rather than a directly comparable anomaly detector.</x:v>
      </x:c>
      <x:c r="L62" s="16" t="str">
        <x:v>Guides reproducible artifact layout, metadata retention, and scalable data preparation.</x:v>
      </x:c>
      <x:c r="M62" s="16" t="str">
        <x:v>not_applicable</x:v>
      </x:c>
      <x:c r="N62" s="16" t="str">
        <x:v>N/A for direct comparison</x:v>
      </x:c>
      <x:c r="O62" s="23" t="str">
        <x:v>No</x:v>
      </x:c>
      <x:c r="P62" s="16" t="str">
        <x:v>Workflow evidence only.</x:v>
      </x:c>
      <x:c r="Q62" s="16" t="str">
        <x:v>https://papers.phmsociety.org/index.php/phmap/article/view/3690</x:v>
      </x:c>
      <x:c r="R62" s="23" t="str">
        <x:v>Supporting</x:v>
      </x:c>
    </x:row>
    <x:row r="63" ht="74" customHeight="1">
      <x:c r="A63" s="23" t="n">
        <x:v>59</x:v>
      </x:c>
      <x:c r="B63" s="23" t="n">
        <x:v>2018</x:v>
      </x:c>
      <x:c r="C63" s="23" t="str">
        <x:v>A</x:v>
      </x:c>
      <x:c r="D63" s="23" t="str">
        <x:v>deep_baseline</x:v>
      </x:c>
      <x:c r="E63" s="16" t="str">
        <x:v>Deep Autoencoding Gaussian Mixture Model for Unsupervised Anomaly Detection</x:v>
      </x:c>
      <x:c r="F63" s="16" t="str">
        <x:v>ICLR</x:v>
      </x:c>
      <x:c r="G63" s="16" t="str">
        <x:v>General high-dimensional anomaly benchmarks</x:v>
      </x:c>
      <x:c r="H63" s="16" t="str">
        <x:v>Method</x:v>
      </x:c>
      <x:c r="I63" s="16" t="str">
        <x:v>full_text_checked</x:v>
      </x:c>
      <x:c r="J63" s="16" t="str">
        <x:v>Jointly learns an autoencoder representation, reconstruction features, and a Gaussian-mixture energy model.</x:v>
      </x:c>
      <x:c r="K63" s="16" t="str">
        <x:v>Tabular benchmark method; temporal order and operating regimes require additional design.</x:v>
      </x:c>
      <x:c r="L63" s="16" t="str">
        <x:v>Optional density-on-latent comparator; not required for the minimum study.</x:v>
      </x:c>
      <x:c r="M63" s="16" t="str">
        <x:v>not_extracted</x:v>
      </x:c>
      <x:c r="N63" s="16" t="str">
        <x:v>Multiple benchmark F1 scores; protocol-specific</x:v>
      </x:c>
      <x:c r="O63" s="23" t="str">
        <x:v>No</x:v>
      </x:c>
      <x:c r="P63" s="16" t="str">
        <x:v>Different datasets and labels.</x:v>
      </x:c>
      <x:c r="Q63" s="16" t="str">
        <x:v>https://openreview.net/forum?id=BJJLHbb0-</x:v>
      </x:c>
      <x:c r="R63" s="23" t="str">
        <x:v>Optional</x:v>
      </x:c>
    </x:row>
    <x:row r="64" ht="74" customHeight="1">
      <x:c r="A64" s="23" t="n">
        <x:v>60</x:v>
      </x:c>
      <x:c r="B64" s="23" t="n">
        <x:v>2018</x:v>
      </x:c>
      <x:c r="C64" s="23" t="str">
        <x:v>A</x:v>
      </x:c>
      <x:c r="D64" s="23" t="str">
        <x:v>deep_baseline</x:v>
      </x:c>
      <x:c r="E64" s="16" t="str">
        <x:v>Deep One-Class Classification</x:v>
      </x:c>
      <x:c r="F64" s="16" t="str">
        <x:v>ICML / PMLR</x:v>
      </x:c>
      <x:c r="G64" s="16" t="str">
        <x:v>General one-class anomaly detection</x:v>
      </x:c>
      <x:c r="H64" s="16" t="str">
        <x:v>Method</x:v>
      </x:c>
      <x:c r="I64" s="16" t="str">
        <x:v>abstract_checked</x:v>
      </x:c>
      <x:c r="J64" s="16" t="str">
        <x:v>Introduces Deep SVDD, optimizing a neural representation for a compact nominal-data hypersphere.</x:v>
      </x:c>
      <x:c r="K64" s="16" t="str">
        <x:v>Original experiments are image-centric; architecture constraints and collapse prevention matter.</x:v>
      </x:c>
      <x:c r="L64" s="16" t="str">
        <x:v>Deep one-class alternative to reconstruction; lower priority than completing the registered protocol.</x:v>
      </x:c>
      <x:c r="M64" s="16" t="str">
        <x:v>not_extracted</x:v>
      </x:c>
      <x:c r="N64" s="16" t="str">
        <x:v>Benchmark AUCs; not FD002</x:v>
      </x:c>
      <x:c r="O64" s="23" t="str">
        <x:v>No</x:v>
      </x:c>
      <x:c r="P64" s="16" t="str">
        <x:v>Different modality and protocol.</x:v>
      </x:c>
      <x:c r="Q64" s="16" t="str">
        <x:v>https://proceedings.mlr.press/v80/ruff18a</x:v>
      </x:c>
      <x:c r="R64" s="23" t="str">
        <x:v>Optional</x:v>
      </x:c>
    </x:row>
    <x:row r="65" ht="74" customHeight="1">
      <x:c r="A65" s="23" t="n">
        <x:v>61</x:v>
      </x:c>
      <x:c r="B65" s="23" t="n">
        <x:v>2019</x:v>
      </x:c>
      <x:c r="C65" s="23" t="str">
        <x:v>A</x:v>
      </x:c>
      <x:c r="D65" s="23" t="str">
        <x:v>deep_baseline</x:v>
      </x:c>
      <x:c r="E65" s="16" t="str">
        <x:v>MAD-GAN: Multivariate Anomaly Detection for Time Series Data with Generative Adversarial Networks</x:v>
      </x:c>
      <x:c r="F65" s="16" t="str">
        <x:v>ICANN / arXiv</x:v>
      </x:c>
      <x:c r="G65" s="16" t="str">
        <x:v>SWaT and WADI cyber-physical systems</x:v>
      </x:c>
      <x:c r="H65" s="16" t="str">
        <x:v>Method</x:v>
      </x:c>
      <x:c r="I65" s="16" t="str">
        <x:v>abstract_checked</x:v>
      </x:c>
      <x:c r="J65" s="16" t="str">
        <x:v>Uses LSTM GAN components and a combined discrimination/reconstruction score for multivariate sequences.</x:v>
      </x:c>
      <x:c r="K65" s="16" t="str">
        <x:v>GAN instability and cyberattack intervals differ from gradual turbofan degradation.</x:v>
      </x:c>
      <x:c r="L65" s="16" t="str">
        <x:v>Historical sequence-GAN comparator; supports keeping deep scope bounded.</x:v>
      </x:c>
      <x:c r="M65" s="16" t="str">
        <x:v>not_extracted</x:v>
      </x:c>
      <x:c r="N65" s="16" t="str">
        <x:v>SWaT/WADI metrics; not extracted</x:v>
      </x:c>
      <x:c r="O65" s="23" t="str">
        <x:v>No</x:v>
      </x:c>
      <x:c r="P65" s="16" t="str">
        <x:v>Different anomaly semantics and datasets.</x:v>
      </x:c>
      <x:c r="Q65" s="16" t="str">
        <x:v>https://arxiv.org/abs/1901.04997</x:v>
      </x:c>
      <x:c r="R65" s="23" t="str">
        <x:v>Optional</x:v>
      </x:c>
    </x:row>
    <x:row r="66" ht="74" customHeight="1">
      <x:c r="A66" s="23" t="n">
        <x:v>62</x:v>
      </x:c>
      <x:c r="B66" s="23" t="n">
        <x:v>2019</x:v>
      </x:c>
      <x:c r="C66" s="23" t="str">
        <x:v>A</x:v>
      </x:c>
      <x:c r="D66" s="23" t="str">
        <x:v>deep_baseline</x:v>
      </x:c>
      <x:c r="E66" s="16" t="str">
        <x:v>A Deep Neural Network for Unsupervised Anomaly Detection and Diagnosis in Multivariate Time Series Data</x:v>
      </x:c>
      <x:c r="F66" s="16" t="str">
        <x:v>AAAI</x:v>
      </x:c>
      <x:c r="G66" s="16" t="str">
        <x:v>Multivariate industrial time series</x:v>
      </x:c>
      <x:c r="H66" s="16" t="str">
        <x:v>Method</x:v>
      </x:c>
      <x:c r="I66" s="16" t="str">
        <x:v>full_text_checked</x:v>
      </x:c>
      <x:c r="J66" s="16" t="str">
        <x:v>MSCRED models multi-scale inter-sensor signature matrices with a convolutional recurrent encoder-decoder.</x:v>
      </x:c>
      <x:c r="K66" s="16" t="str">
        <x:v>Computationally heavier and evaluates benchmarks with different anomaly intervals.</x:v>
      </x:c>
      <x:c r="L66" s="16" t="str">
        <x:v>Supports sensor-correlation modeling and diagnosis as future, not immediate, extensions.</x:v>
      </x:c>
      <x:c r="M66" s="16" t="str">
        <x:v>not_extracted</x:v>
      </x:c>
      <x:c r="N66" s="16" t="str">
        <x:v>Benchmark metrics; not FD002</x:v>
      </x:c>
      <x:c r="O66" s="23" t="str">
        <x:v>No</x:v>
      </x:c>
      <x:c r="P66" s="16" t="str">
        <x:v>Different input representation and labels.</x:v>
      </x:c>
      <x:c r="Q66" s="16" t="str">
        <x:v>https://ojs.aaai.org/index.php/AAAI/article/view/3942</x:v>
      </x:c>
      <x:c r="R66" s="23" t="str">
        <x:v>Optional</x:v>
      </x:c>
    </x:row>
    <x:row r="67" ht="74" customHeight="1">
      <x:c r="A67" s="23" t="n">
        <x:v>63</x:v>
      </x:c>
      <x:c r="B67" s="23" t="n">
        <x:v>2021</x:v>
      </x:c>
      <x:c r="C67" s="23" t="str">
        <x:v>A</x:v>
      </x:c>
      <x:c r="D67" s="23" t="str">
        <x:v>deep_baseline</x:v>
      </x:c>
      <x:c r="E67" s="16" t="str">
        <x:v>Graph Neural Network-Based Anomaly Detection in Multivariate Time Series</x:v>
      </x:c>
      <x:c r="F67" s="16" t="str">
        <x:v>AAAI</x:v>
      </x:c>
      <x:c r="G67" s="16" t="str">
        <x:v>High-dimensional sensor time series</x:v>
      </x:c>
      <x:c r="H67" s="16" t="str">
        <x:v>Method</x:v>
      </x:c>
      <x:c r="I67" s="16" t="str">
        <x:v>full_text_checked</x:v>
      </x:c>
      <x:c r="J67" s="16" t="str">
        <x:v>GDN learns inter-sensor graph structure and predicts expected behavior, enabling anomaly scoring and variable-level interpretation.</x:v>
      </x:c>
      <x:c r="K67" s="16" t="str">
        <x:v>Learned graphs are not automatically causal and benchmark protocols differ.</x:v>
      </x:c>
      <x:c r="L67" s="16" t="str">
        <x:v>Future comparator if inter-sensor dependency becomes a justified research question.</x:v>
      </x:c>
      <x:c r="M67" s="16" t="str">
        <x:v>not_extracted</x:v>
      </x:c>
      <x:c r="N67" s="16" t="str">
        <x:v>Benchmark F1/AUC; not FD002</x:v>
      </x:c>
      <x:c r="O67" s="23" t="str">
        <x:v>No</x:v>
      </x:c>
      <x:c r="P67" s="16" t="str">
        <x:v>Different datasets and evaluation conventions.</x:v>
      </x:c>
      <x:c r="Q67" s="16" t="str">
        <x:v>https://ojs.aaai.org/index.php/AAAI/article/view/16523</x:v>
      </x:c>
      <x:c r="R67" s="23" t="str">
        <x:v>Optional</x:v>
      </x:c>
    </x:row>
    <x:row r="68" ht="74" customHeight="1">
      <x:c r="A68" s="23" t="n">
        <x:v>64</x:v>
      </x:c>
      <x:c r="B68" s="23" t="n">
        <x:v>2020</x:v>
      </x:c>
      <x:c r="C68" s="23" t="str">
        <x:v>A</x:v>
      </x:c>
      <x:c r="D68" s="23" t="str">
        <x:v>deep_baseline</x:v>
      </x:c>
      <x:c r="E68" s="16" t="str">
        <x:v>Timeseries Anomaly Detection using Temporal Hierarchical One-Class Network</x:v>
      </x:c>
      <x:c r="F68" s="16" t="str">
        <x:v>NeurIPS</x:v>
      </x:c>
      <x:c r="G68" s="16" t="str">
        <x:v>General time-series anomaly benchmarks</x:v>
      </x:c>
      <x:c r="H68" s="16" t="str">
        <x:v>Method</x:v>
      </x:c>
      <x:c r="I68" s="16" t="str">
        <x:v>abstract_checked</x:v>
      </x:c>
      <x:c r="J68" s="16" t="str">
        <x:v>THOC combines multi-scale dilated recurrent features with hierarchical one-class objectives.</x:v>
      </x:c>
      <x:c r="K68" s="16" t="str">
        <x:v>High model complexity and no condition-aware FD002 validation.</x:v>
      </x:c>
      <x:c r="L68" s="16" t="str">
        <x:v>Literature coverage for temporal one-class learning; optional comparator only.</x:v>
      </x:c>
      <x:c r="M68" s="16" t="str">
        <x:v>not_extracted</x:v>
      </x:c>
      <x:c r="N68" s="16" t="str">
        <x:v>Benchmark metrics; not FD002</x:v>
      </x:c>
      <x:c r="O68" s="23" t="str">
        <x:v>No</x:v>
      </x:c>
      <x:c r="P68" s="16" t="str">
        <x:v>Different datasets and protocol.</x:v>
      </x:c>
      <x:c r="Q68" s="16" t="str">
        <x:v>https://proceedings.neurips.cc/paper/2020/hash/97e401a02082021fd24957f852e0e475-Abstract.html</x:v>
      </x:c>
      <x:c r="R68" s="23" t="str">
        <x:v>Optional</x:v>
      </x:c>
    </x:row>
    <x:row r="69" ht="74" customHeight="1">
      <x:c r="A69" s="23" t="n">
        <x:v>65</x:v>
      </x:c>
      <x:c r="B69" s="23" t="n">
        <x:v>2021</x:v>
      </x:c>
      <x:c r="C69" s="23" t="str">
        <x:v>A</x:v>
      </x:c>
      <x:c r="D69" s="23" t="str">
        <x:v>deep_baseline</x:v>
      </x:c>
      <x:c r="E69" s="16" t="str">
        <x:v>Multivariate Time Series Anomaly Detection and Interpretation Using Hierarchical Inter-Metric and Temporal Embedding</x:v>
      </x:c>
      <x:c r="F69" s="16" t="str">
        <x:v>ACM KDD</x:v>
      </x:c>
      <x:c r="G69" s="16" t="str">
        <x:v>Multivariate time-series benchmarks</x:v>
      </x:c>
      <x:c r="H69" s="16" t="str">
        <x:v>Method</x:v>
      </x:c>
      <x:c r="I69" s="16" t="str">
        <x:v>abstract_checked</x:v>
      </x:c>
      <x:c r="J69" s="16" t="str">
        <x:v>InterFusion jointly models inter-metric and temporal dependencies with hierarchical stochastic latent variables.</x:v>
      </x:c>
      <x:c r="K69" s="16" t="str">
        <x:v>Model and interpretation complexity can obscure causal attribution and raise compute cost.</x:v>
      </x:c>
      <x:c r="L69" s="16" t="str">
        <x:v>Optional modern baseline and evidence that fusion/interpretation require careful validation.</x:v>
      </x:c>
      <x:c r="M69" s="16" t="str">
        <x:v>not_extracted</x:v>
      </x:c>
      <x:c r="N69" s="16" t="str">
        <x:v>Benchmark metrics; not FD002</x:v>
      </x:c>
      <x:c r="O69" s="23" t="str">
        <x:v>No</x:v>
      </x:c>
      <x:c r="P69" s="16" t="str">
        <x:v>Different datasets and thresholds.</x:v>
      </x:c>
      <x:c r="Q69" s="16" t="str">
        <x:v>https://dl.acm.org/doi/10.1145/3447548.3467075</x:v>
      </x:c>
      <x:c r="R69" s="23" t="str">
        <x:v>Optional</x:v>
      </x:c>
    </x:row>
    <x:row r="70" ht="74" customHeight="1">
      <x:c r="A70" s="23" t="n">
        <x:v>66</x:v>
      </x:c>
      <x:c r="B70" s="23" t="n">
        <x:v>2020</x:v>
      </x:c>
      <x:c r="C70" s="23" t="str">
        <x:v>A</x:v>
      </x:c>
      <x:c r="D70" s="23" t="str">
        <x:v>deep_baseline</x:v>
      </x:c>
      <x:c r="E70" s="16" t="str">
        <x:v>Time Series Anomaly Detection Using Generative Adversarial Networks</x:v>
      </x:c>
      <x:c r="F70" s="16" t="str">
        <x:v>IEEE Big Data</x:v>
      </x:c>
      <x:c r="G70" s="16" t="str">
        <x:v>Univariate time-series benchmarks</x:v>
      </x:c>
      <x:c r="H70" s="16" t="str">
        <x:v>Method</x:v>
      </x:c>
      <x:c r="I70" s="16" t="str">
        <x:v>full_text_checked</x:v>
      </x:c>
      <x:c r="J70" s="16" t="str">
        <x:v>TadGAN uses LSTM generators/critics, cycle consistency, reconstruction, and discriminator signals.</x:v>
      </x:c>
      <x:c r="K70" s="16" t="str">
        <x:v>Primarily univariate and computationally more fragile than classical or AE controls.</x:v>
      </x:c>
      <x:c r="L70" s="16" t="str">
        <x:v>Supports leaving GANs outside the minimum viable ablation study.</x:v>
      </x:c>
      <x:c r="M70" s="16" t="str">
        <x:v>not_extracted</x:v>
      </x:c>
      <x:c r="N70" s="16" t="str">
        <x:v>Multiple dataset metrics; not FD002</x:v>
      </x:c>
      <x:c r="O70" s="23" t="str">
        <x:v>No</x:v>
      </x:c>
      <x:c r="P70" s="16" t="str">
        <x:v>Different modality and protocols.</x:v>
      </x:c>
      <x:c r="Q70" s="16" t="str">
        <x:v>https://arxiv.org/abs/2009.07769</x:v>
      </x:c>
      <x:c r="R70" s="23" t="str">
        <x:v>Optional</x:v>
      </x:c>
    </x:row>
    <x:row r="71" ht="74" customHeight="1">
      <x:c r="A71" s="23" t="n">
        <x:v>67</x:v>
      </x:c>
      <x:c r="B71" s="23" t="n">
        <x:v>2018</x:v>
      </x:c>
      <x:c r="C71" s="23" t="str">
        <x:v>A</x:v>
      </x:c>
      <x:c r="D71" s="23" t="str">
        <x:v>deep_baseline</x:v>
      </x:c>
      <x:c r="E71" s="16" t="str">
        <x:v>Unsupervised Anomaly Detection via Variational Auto-Encoder for Seasonal KPIs in Web Applications</x:v>
      </x:c>
      <x:c r="F71" s="16" t="str">
        <x:v>The Web Conference</x:v>
      </x:c>
      <x:c r="G71" s="16" t="str">
        <x:v>Seasonal web KPIs</x:v>
      </x:c>
      <x:c r="H71" s="16" t="str">
        <x:v>Method</x:v>
      </x:c>
      <x:c r="I71" s="16" t="str">
        <x:v>abstract_checked</x:v>
      </x:c>
      <x:c r="J71" s="16" t="str">
        <x:v>Donut modifies VAE training and reconstruction for missing, seasonal, unlabeled KPI data.</x:v>
      </x:c>
      <x:c r="K71" s="16" t="str">
        <x:v>Univariate seasonal KPI assumptions do not match multivariate run-to-failure engines.</x:v>
      </x:c>
      <x:c r="L71" s="16" t="str">
        <x:v>VAE and missing-data background; not a priority comparator.</x:v>
      </x:c>
      <x:c r="M71" s="16" t="str">
        <x:v>extracted_from_abstract</x:v>
      </x:c>
      <x:c r="N71" s="16" t="str">
        <x:v>Best reported F-scores roughly 0.75-0.90 on studied KPIs</x:v>
      </x:c>
      <x:c r="O71" s="23" t="str">
        <x:v>No</x:v>
      </x:c>
      <x:c r="P71" s="16" t="str">
        <x:v>Different task, labels, and data.</x:v>
      </x:c>
      <x:c r="Q71" s="16" t="str">
        <x:v>https://dl.acm.org/doi/10.1145/3178876.3185996</x:v>
      </x:c>
      <x:c r="R71" s="23" t="str">
        <x:v>Background</x:v>
      </x:c>
    </x:row>
    <x:row r="72" ht="74" customHeight="1">
      <x:c r="A72" s="23" t="n">
        <x:v>68</x:v>
      </x:c>
      <x:c r="B72" s="23" t="n">
        <x:v>2020</x:v>
      </x:c>
      <x:c r="C72" s="23" t="str">
        <x:v>A</x:v>
      </x:c>
      <x:c r="D72" s="23" t="str">
        <x:v>deep_baseline</x:v>
      </x:c>
      <x:c r="E72" s="16" t="str">
        <x:v>Deep Semi-Supervised Anomaly Detection</x:v>
      </x:c>
      <x:c r="F72" s="16" t="str">
        <x:v>ICLR</x:v>
      </x:c>
      <x:c r="G72" s="16" t="str">
        <x:v>General semi-supervised anomaly detection</x:v>
      </x:c>
      <x:c r="H72" s="16" t="str">
        <x:v>Method</x:v>
      </x:c>
      <x:c r="I72" s="16" t="str">
        <x:v>full_text_checked</x:v>
      </x:c>
      <x:c r="J72" s="16" t="str">
        <x:v>Deep SAD extends one-class representation learning to exploit small sets of labeled anomalies.</x:v>
      </x:c>
      <x:c r="K72" s="16" t="str">
        <x:v>FD002 has no trustworthy cycle-level anomaly labels for supervised fitting.</x:v>
      </x:c>
      <x:c r="L72" s="16" t="str">
        <x:v>Clarifies why proxy labels should evaluate, not train, the primary unsupervised detector.</x:v>
      </x:c>
      <x:c r="M72" s="16" t="str">
        <x:v>not_extracted</x:v>
      </x:c>
      <x:c r="N72" s="16" t="str">
        <x:v>General benchmark AUCs</x:v>
      </x:c>
      <x:c r="O72" s="23" t="str">
        <x:v>No</x:v>
      </x:c>
      <x:c r="P72" s="16" t="str">
        <x:v>Requires labeled anomalies absent from FD002.</x:v>
      </x:c>
      <x:c r="Q72" s="16" t="str">
        <x:v>https://openreview.net/forum?id=HkgH0TEYwH</x:v>
      </x:c>
      <x:c r="R72" s="23" t="str">
        <x:v>Supporting</x:v>
      </x:c>
    </x:row>
    <x:row r="73" ht="74" customHeight="1">
      <x:c r="A73" s="23" t="n">
        <x:v>69</x:v>
      </x:c>
      <x:c r="B73" s="23" t="n">
        <x:v>2022</x:v>
      </x:c>
      <x:c r="C73" s="23" t="str">
        <x:v>A</x:v>
      </x:c>
      <x:c r="D73" s="23" t="str">
        <x:v>classical_extension</x:v>
      </x:c>
      <x:c r="E73" s="16" t="str">
        <x:v>LUNAR: Unifying Local Outlier Detection Methods via Graph Neural Networks</x:v>
      </x:c>
      <x:c r="F73" s="16" t="str">
        <x:v>AAAI</x:v>
      </x:c>
      <x:c r="G73" s="16" t="str">
        <x:v>Tabular anomaly benchmarks</x:v>
      </x:c>
      <x:c r="H73" s="16" t="str">
        <x:v>Method</x:v>
      </x:c>
      <x:c r="I73" s="16" t="str">
        <x:v>full_text_checked</x:v>
      </x:c>
      <x:c r="J73" s="16" t="str">
        <x:v>Frames KNN, LOF, and DBSCAN as message passing and learns a robust local-neighborhood anomaly ranker.</x:v>
      </x:c>
      <x:c r="K73" s="16" t="str">
        <x:v>Feature-based rather than sequential and requires trainable supervision signals constructed from neighborhoods.</x:v>
      </x:c>
      <x:c r="L73" s="16" t="str">
        <x:v>Supports LOF as a serious control and a possible future learnable-local extension.</x:v>
      </x:c>
      <x:c r="M73" s="16" t="str">
        <x:v>not_extracted</x:v>
      </x:c>
      <x:c r="N73" s="16" t="str">
        <x:v>Tabular benchmark AUCs</x:v>
      </x:c>
      <x:c r="O73" s="23" t="str">
        <x:v>No</x:v>
      </x:c>
      <x:c r="P73" s="16" t="str">
        <x:v>Different representation and datasets.</x:v>
      </x:c>
      <x:c r="Q73" s="16" t="str">
        <x:v>https://ojs.aaai.org/index.php/AAAI/article/view/20629</x:v>
      </x:c>
      <x:c r="R73" s="23" t="str">
        <x:v>Supporting</x:v>
      </x:c>
    </x:row>
    <x:row r="74" ht="74" customHeight="1">
      <x:c r="A74" s="23" t="n">
        <x:v>70</x:v>
      </x:c>
      <x:c r="B74" s="23" t="n">
        <x:v>2023</x:v>
      </x:c>
      <x:c r="C74" s="23" t="str">
        <x:v>A</x:v>
      </x:c>
      <x:c r="D74" s="23" t="str">
        <x:v>deep_baseline</x:v>
      </x:c>
      <x:c r="E74" s="16" t="str">
        <x:v>Detecting Multivariate Time Series Anomalies with Zero Known Label</x:v>
      </x:c>
      <x:c r="F74" s="16" t="str">
        <x:v>AAAI</x:v>
      </x:c>
      <x:c r="G74" s="16" t="str">
        <x:v>Multivariate time-series benchmarks</x:v>
      </x:c>
      <x:c r="H74" s="16" t="str">
        <x:v>Method</x:v>
      </x:c>
      <x:c r="I74" s="16" t="str">
        <x:v>full_text_checked</x:v>
      </x:c>
      <x:c r="J74" s="16" t="str">
        <x:v>MTGFlow uses a dynamic graph and entity-aware normalizing flow without assuming a perfectly clean nominal training set.</x:v>
      </x:c>
      <x:c r="K74" s="16" t="str">
        <x:v>Complexity is high and benchmark labels are unlike gradual FD002 onset proxies.</x:v>
      </x:c>
      <x:c r="L74" s="16" t="str">
        <x:v>Evidence that contamination-robust training is possible; optional later comparator.</x:v>
      </x:c>
      <x:c r="M74" s="16" t="str">
        <x:v>not_extracted</x:v>
      </x:c>
      <x:c r="N74" s="16" t="str">
        <x:v>Benchmark F1/AUC; not FD002</x:v>
      </x:c>
      <x:c r="O74" s="23" t="str">
        <x:v>No</x:v>
      </x:c>
      <x:c r="P74" s="16" t="str">
        <x:v>Different datasets and anomaly semantics.</x:v>
      </x:c>
      <x:c r="Q74" s="16" t="str">
        <x:v>https://ojs.aaai.org/index.php/AAAI/article/view/25623</x:v>
      </x:c>
      <x:c r="R74" s="23" t="str">
        <x:v>Optional</x:v>
      </x:c>
    </x:row>
    <x:row r="75" ht="74" customHeight="1">
      <x:c r="A75" s="23" t="n">
        <x:v>71</x:v>
      </x:c>
      <x:c r="B75" s="23" t="n">
        <x:v>2021</x:v>
      </x:c>
      <x:c r="C75" s="23" t="str">
        <x:v>A</x:v>
      </x:c>
      <x:c r="D75" s="23" t="str">
        <x:v>deep_baseline</x:v>
      </x:c>
      <x:c r="E75" s="16" t="str">
        <x:v>Time Series Anomaly Detection with Multiresolution Ensemble Decoding</x:v>
      </x:c>
      <x:c r="F75" s="16" t="str">
        <x:v>AAAI</x:v>
      </x:c>
      <x:c r="G75" s="16" t="str">
        <x:v>Time-series anomaly benchmarks</x:v>
      </x:c>
      <x:c r="H75" s="16" t="str">
        <x:v>Method</x:v>
      </x:c>
      <x:c r="I75" s="16" t="str">
        <x:v>full_text_checked</x:v>
      </x:c>
      <x:c r="J75" s="16" t="str">
        <x:v>RAMED uses recurrent autoencoders with multiple decoder resolutions and coarse-to-fine fusion to reduce error accumulation.</x:v>
      </x:c>
      <x:c r="K75" s="16" t="str">
        <x:v>More complex than the registered LSTM-AE and not condition-aware.</x:v>
      </x:c>
      <x:c r="L75" s="16" t="str">
        <x:v>Architecture alternative only if the simple LSTM-AE underperforms after a fair refit.</x:v>
      </x:c>
      <x:c r="M75" s="16" t="str">
        <x:v>not_extracted</x:v>
      </x:c>
      <x:c r="N75" s="16" t="str">
        <x:v>Benchmark metrics; not FD002</x:v>
      </x:c>
      <x:c r="O75" s="23" t="str">
        <x:v>No</x:v>
      </x:c>
      <x:c r="P75" s="16" t="str">
        <x:v>Different datasets and protocol.</x:v>
      </x:c>
      <x:c r="Q75" s="16" t="str">
        <x:v>https://ojs.aaai.org/index.php/AAAI/article/view/17152</x:v>
      </x:c>
      <x:c r="R75" s="23" t="str">
        <x:v>Optional</x:v>
      </x:c>
    </x:row>
    <x:row r="76" ht="74" customHeight="1">
      <x:c r="A76" s="23" t="n">
        <x:v>72</x:v>
      </x:c>
      <x:c r="B76" s="23" t="n">
        <x:v>2023</x:v>
      </x:c>
      <x:c r="C76" s="23" t="str">
        <x:v>A</x:v>
      </x:c>
      <x:c r="D76" s="23" t="str">
        <x:v>deep_baseline</x:v>
      </x:c>
      <x:c r="E76" s="16" t="str">
        <x:v>DCdetector: Dual Attention Contrastive Representation Learning for Time Series Anomaly Detection</x:v>
      </x:c>
      <x:c r="F76" s="16" t="str">
        <x:v>ACM KDD</x:v>
      </x:c>
      <x:c r="G76" s="16" t="str">
        <x:v>Time-series anomaly benchmarks</x:v>
      </x:c>
      <x:c r="H76" s="16" t="str">
        <x:v>Method</x:v>
      </x:c>
      <x:c r="I76" s="16" t="str">
        <x:v>abstract_checked</x:v>
      </x:c>
      <x:c r="J76" s="16" t="str">
        <x:v>Uses multi-scale dual attention and pure contrastive learning rather than reconstruction.</x:v>
      </x:c>
      <x:c r="K76" s="16" t="str">
        <x:v>Reported rankings can depend on evaluation conventions; model is not needed to answer the current causal preprocessing question.</x:v>
      </x:c>
      <x:c r="L76" s="16" t="str">
        <x:v>Modern non-reconstruction baseline for discussion, not immediate implementation.</x:v>
      </x:c>
      <x:c r="M76" s="16" t="str">
        <x:v>not_extracted</x:v>
      </x:c>
      <x:c r="N76" s="16" t="str">
        <x:v>Benchmark metrics; not FD002</x:v>
      </x:c>
      <x:c r="O76" s="23" t="str">
        <x:v>No</x:v>
      </x:c>
      <x:c r="P76" s="16" t="str">
        <x:v>Different datasets and evaluation conventions.</x:v>
      </x:c>
      <x:c r="Q76" s="16" t="str">
        <x:v>https://dl.acm.org/doi/10.1145/3580305.3599295</x:v>
      </x:c>
      <x:c r="R76" s="23" t="str">
        <x:v>Background</x:v>
      </x:c>
    </x:row>
    <x:row r="77" ht="74" customHeight="1">
      <x:c r="A77" s="23" t="n">
        <x:v>73</x:v>
      </x:c>
      <x:c r="B77" s="23" t="n">
        <x:v>2024</x:v>
      </x:c>
      <x:c r="C77" s="23" t="str">
        <x:v>B</x:v>
      </x:c>
      <x:c r="D77" s="23" t="str">
        <x:v>evaluation</x:v>
      </x:c>
      <x:c r="E77" s="16" t="str">
        <x:v>TimeSeriesBench: An Industrial-Grade Benchmark for Time Series Anomaly Detection Models</x:v>
      </x:c>
      <x:c r="F77" s="16" t="str">
        <x:v>arXiv / benchmark release</x:v>
      </x:c>
      <x:c r="G77" s="16" t="str">
        <x:v>Industrial-scale time-series anomaly evaluation</x:v>
      </x:c>
      <x:c r="H77" s="16" t="str">
        <x:v>Method-evaluation</x:v>
      </x:c>
      <x:c r="I77" s="16" t="str">
        <x:v>full_text_checked</x:v>
      </x:c>
      <x:c r="J77" s="16" t="str">
        <x:v>Evaluates unified-model, unseen-series, and practical metric settings across more than 168 configurations.</x:v>
      </x:c>
      <x:c r="K77" s="16" t="str">
        <x:v>Software-system time series and preprint status; not a direct FD002 comparison.</x:v>
      </x:c>
      <x:c r="L77" s="16" t="str">
        <x:v>Supports unseen-engine evaluation, operational constraints, and resisting per-series overfitting.</x:v>
      </x:c>
      <x:c r="M77" s="16" t="str">
        <x:v>not_extracted</x:v>
      </x:c>
      <x:c r="N77" s="16" t="str">
        <x:v>Benchmark-wide results; not directly comparable</x:v>
      </x:c>
      <x:c r="O77" s="23" t="str">
        <x:v>No</x:v>
      </x:c>
      <x:c r="P77" s="16" t="str">
        <x:v>Different domains and evaluation units.</x:v>
      </x:c>
      <x:c r="Q77" s="16" t="str">
        <x:v>https://arxiv.org/abs/2402.10802</x:v>
      </x:c>
      <x:c r="R77" s="23" t="str">
        <x:v>Supporting</x:v>
      </x:c>
    </x:row>
    <x:row r="78" ht="74" customHeight="1">
      <x:c r="A78" s="23" t="n">
        <x:v>74</x:v>
      </x:c>
      <x:c r="B78" s="23" t="n">
        <x:v>2022</x:v>
      </x:c>
      <x:c r="C78" s="23" t="str">
        <x:v>A</x:v>
      </x:c>
      <x:c r="D78" s="23" t="str">
        <x:v>evaluation</x:v>
      </x:c>
      <x:c r="E78" s="16" t="str">
        <x:v>TSB-UAD: An End-to-End Benchmark Suite for Univariate Time-Series Anomaly Detection</x:v>
      </x:c>
      <x:c r="F78" s="16" t="str">
        <x:v>PVLDB</x:v>
      </x:c>
      <x:c r="G78" s="16" t="str">
        <x:v>Large univariate TSAD benchmark suite</x:v>
      </x:c>
      <x:c r="H78" s="16" t="str">
        <x:v>Method-evaluation</x:v>
      </x:c>
      <x:c r="I78" s="16" t="str">
        <x:v>abstract_checked</x:v>
      </x:c>
      <x:c r="J78" s="16" t="str">
        <x:v>Standardizes many datasets and methods in a reproducible end-to-end benchmark.</x:v>
      </x:c>
      <x:c r="K78" s="16" t="str">
        <x:v>Univariate benchmark; FD002 is multivariate and engine-grouped.</x:v>
      </x:c>
      <x:c r="L78" s="16" t="str">
        <x:v>Benchmark-design precedent and evidence that reproducibility infrastructure is part of the contribution.</x:v>
      </x:c>
      <x:c r="M78" s="16" t="str">
        <x:v>not_applicable</x:v>
      </x:c>
      <x:c r="N78" s="16" t="str">
        <x:v>Large benchmark; no single comparable metric</x:v>
      </x:c>
      <x:c r="O78" s="23" t="str">
        <x:v>No</x:v>
      </x:c>
      <x:c r="P78" s="16" t="str">
        <x:v>Different benchmark scope.</x:v>
      </x:c>
      <x:c r="Q78" s="16" t="str">
        <x:v>https://dl.acm.org/doi/10.14778/3529337.3529354</x:v>
      </x:c>
      <x:c r="R78" s="23" t="str">
        <x:v>Supporting</x:v>
      </x:c>
    </x:row>
    <x:row r="79" ht="74" customHeight="1">
      <x:c r="A79" s="23" t="n">
        <x:v>75</x:v>
      </x:c>
      <x:c r="B79" s="23" t="n">
        <x:v>2022</x:v>
      </x:c>
      <x:c r="C79" s="23" t="str">
        <x:v>A</x:v>
      </x:c>
      <x:c r="D79" s="23" t="str">
        <x:v>evaluation</x:v>
      </x:c>
      <x:c r="E79" s="16" t="str">
        <x:v>TimeEval: A Benchmarking Toolkit for Time Series Anomaly Detection Algorithms</x:v>
      </x:c>
      <x:c r="F79" s="16" t="str">
        <x:v>PVLDB</x:v>
      </x:c>
      <x:c r="G79" s="16" t="str">
        <x:v>Reproducible TSAD experimentation</x:v>
      </x:c>
      <x:c r="H79" s="16" t="str">
        <x:v>Method-evaluation</x:v>
      </x:c>
      <x:c r="I79" s="16" t="str">
        <x:v>official_record_checked</x:v>
      </x:c>
      <x:c r="J79" s="16" t="str">
        <x:v>Provides an extensible automated framework for comparable detector, dataset, runtime, and metric experiments.</x:v>
      </x:c>
      <x:c r="K79" s="16" t="str">
        <x:v>A toolkit does not solve FD002 label ambiguity or define engine-level operational metrics.</x:v>
      </x:c>
      <x:c r="L79" s="16" t="str">
        <x:v>Motivates versioned configs, common interfaces, and repeatable experiment execution.</x:v>
      </x:c>
      <x:c r="M79" s="16" t="str">
        <x:v>not_applicable</x:v>
      </x:c>
      <x:c r="N79" s="16" t="str">
        <x:v>N/A</x:v>
      </x:c>
      <x:c r="O79" s="23" t="str">
        <x:v>No</x:v>
      </x:c>
      <x:c r="P79" s="16" t="str">
        <x:v>Tooling paper.</x:v>
      </x:c>
      <x:c r="Q79" s="16" t="str">
        <x:v>https://timeeval.github.io/evaluation-paper/</x:v>
      </x:c>
      <x:c r="R79" s="23" t="str">
        <x:v>Supporting</x:v>
      </x:c>
    </x:row>
    <x:row r="80" ht="74" customHeight="1">
      <x:c r="A80" s="23" t="n">
        <x:v>76</x:v>
      </x:c>
      <x:c r="B80" s="23" t="n">
        <x:v>2015</x:v>
      </x:c>
      <x:c r="C80" s="23" t="str">
        <x:v>B</x:v>
      </x:c>
      <x:c r="D80" s="23" t="str">
        <x:v>evaluation</x:v>
      </x:c>
      <x:c r="E80" s="16" t="str">
        <x:v>Evaluating Real-time Anomaly Detection Algorithms: The Numenta Anomaly Benchmark</x:v>
      </x:c>
      <x:c r="F80" s="16" t="str">
        <x:v>arXiv / NAB</x:v>
      </x:c>
      <x:c r="G80" s="16" t="str">
        <x:v>Streaming univariate time series</x:v>
      </x:c>
      <x:c r="H80" s="16" t="str">
        <x:v>Method-evaluation</x:v>
      </x:c>
      <x:c r="I80" s="16" t="str">
        <x:v>abstract_checked</x:v>
      </x:c>
      <x:c r="J80" s="16" t="str">
        <x:v>Defines time-sensitive anomaly windows and rewards early detection while penalizing false positives.</x:v>
      </x:c>
      <x:c r="K80" s="16" t="str">
        <x:v>Univariate streaming benchmark and application-weighted score are not directly transferable.</x:v>
      </x:c>
      <x:c r="L80" s="16" t="str">
        <x:v>Supports explicit lead-time and false-alert trade-offs instead of F1 alone.</x:v>
      </x:c>
      <x:c r="M80" s="16" t="str">
        <x:v>not_applicable</x:v>
      </x:c>
      <x:c r="N80" s="16" t="str">
        <x:v>Application-profile NAB score</x:v>
      </x:c>
      <x:c r="O80" s="23" t="str">
        <x:v>No</x:v>
      </x:c>
      <x:c r="P80" s="16" t="str">
        <x:v>Different scoring function and data.</x:v>
      </x:c>
      <x:c r="Q80" s="16" t="str">
        <x:v>https://arxiv.org/abs/1510.03336</x:v>
      </x:c>
      <x:c r="R80" s="23" t="str">
        <x:v>Supporting</x:v>
      </x:c>
    </x:row>
    <x:row r="81" ht="74" customHeight="1">
      <x:c r="A81" s="23" t="n">
        <x:v>77</x:v>
      </x:c>
      <x:c r="B81" s="23" t="n">
        <x:v>2022</x:v>
      </x:c>
      <x:c r="C81" s="23" t="str">
        <x:v>A</x:v>
      </x:c>
      <x:c r="D81" s="23" t="str">
        <x:v>evaluation</x:v>
      </x:c>
      <x:c r="E81" s="16" t="str">
        <x:v>Local Evaluation of Time Series Anomaly Detection Algorithms</x:v>
      </x:c>
      <x:c r="F81" s="16" t="str">
        <x:v>ACM KDD</x:v>
      </x:c>
      <x:c r="G81" s="16" t="str">
        <x:v>Event/range anomaly evaluation</x:v>
      </x:c>
      <x:c r="H81" s="16" t="str">
        <x:v>Method-evaluation</x:v>
      </x:c>
      <x:c r="I81" s="16" t="str">
        <x:v>abstract_checked</x:v>
      </x:c>
      <x:c r="J81" s="16" t="str">
        <x:v>Introduces affiliation precision/recall using distances between predicted and true event sets with local interpretation.</x:v>
      </x:c>
      <x:c r="K81" s="16" t="str">
        <x:v>Still requires meaningful labeled event ranges, which FD002 does not provide directly.</x:v>
      </x:c>
      <x:c r="L81" s="16" t="str">
        <x:v>Candidate event-level sensitivity metric after proxy intervals are explicitly declared.</x:v>
      </x:c>
      <x:c r="M81" s="16" t="str">
        <x:v>not_applicable</x:v>
      </x:c>
      <x:c r="N81" s="16" t="str">
        <x:v>Metric-definition study</x:v>
      </x:c>
      <x:c r="O81" s="23" t="str">
        <x:v>No</x:v>
      </x:c>
      <x:c r="P81" s="16" t="str">
        <x:v>Defines metrics rather than a comparable detector.</x:v>
      </x:c>
      <x:c r="Q81" s="16" t="str">
        <x:v>https://dl.acm.org/doi/10.1145/3534678.3539339</x:v>
      </x:c>
      <x:c r="R81" s="23" t="str">
        <x:v>Core</x:v>
      </x:c>
    </x:row>
    <x:row r="82" ht="74" customHeight="1">
      <x:c r="A82" s="23" t="n">
        <x:v>78</x:v>
      </x:c>
      <x:c r="B82" s="23" t="n">
        <x:v>2024</x:v>
      </x:c>
      <x:c r="C82" s="23" t="str">
        <x:v>A</x:v>
      </x:c>
      <x:c r="D82" s="23" t="str">
        <x:v>evaluation</x:v>
      </x:c>
      <x:c r="E82" s="16" t="str">
        <x:v>PATE: Proximity-Aware Time Series Anomaly Evaluation</x:v>
      </x:c>
      <x:c r="F82" s="16" t="str">
        <x:v>ACM KDD</x:v>
      </x:c>
      <x:c r="G82" s="16" t="str">
        <x:v>Time-series anomaly intervals</x:v>
      </x:c>
      <x:c r="H82" s="16" t="str">
        <x:v>Method-evaluation</x:v>
      </x:c>
      <x:c r="I82" s="16" t="str">
        <x:v>abstract_checked</x:v>
      </x:c>
      <x:c r="J82" s="16" t="str">
        <x:v>Weights early and delayed detections using buffer zones and provides proximity-aware area under precision-recall.</x:v>
      </x:c>
      <x:c r="K82" s="16" t="str">
        <x:v>Parameters and interval semantics must be fixed before seeing test results.</x:v>
      </x:c>
      <x:c r="L82" s="16" t="str">
        <x:v>Optional temporal metric for onset sensitivity and early-warning analysis.</x:v>
      </x:c>
      <x:c r="M82" s="16" t="str">
        <x:v>not_applicable</x:v>
      </x:c>
      <x:c r="N82" s="16" t="str">
        <x:v>Metric-definition study</x:v>
      </x:c>
      <x:c r="O82" s="23" t="str">
        <x:v>No</x:v>
      </x:c>
      <x:c r="P82" s="16" t="str">
        <x:v>Defines an evaluation measure.</x:v>
      </x:c>
      <x:c r="Q82" s="16" t="str">
        <x:v>https://dl.acm.org/doi/10.1145/3637528.3671971</x:v>
      </x:c>
      <x:c r="R82" s="23" t="str">
        <x:v>Core</x:v>
      </x:c>
    </x:row>
    <x:row r="83" ht="74" customHeight="1">
      <x:c r="A83" s="23" t="n">
        <x:v>79</x:v>
      </x:c>
      <x:c r="B83" s="23" t="n">
        <x:v>2022</x:v>
      </x:c>
      <x:c r="C83" s="23" t="str">
        <x:v>A</x:v>
      </x:c>
      <x:c r="D83" s="23" t="str">
        <x:v>evaluation</x:v>
      </x:c>
      <x:c r="E83" s="16" t="str">
        <x:v>Do You Know Existing Accuracy Metrics Overrate Time-Series Anomaly Detections?</x:v>
      </x:c>
      <x:c r="F83" s="16" t="str">
        <x:v>ACM SAC</x:v>
      </x:c>
      <x:c r="G83" s="16" t="str">
        <x:v>Time-series anomaly metrics</x:v>
      </x:c>
      <x:c r="H83" s="16" t="str">
        <x:v>Method-evaluation</x:v>
      </x:c>
      <x:c r="I83" s="16" t="str">
        <x:v>abstract_checked</x:v>
      </x:c>
      <x:c r="J83" s="16" t="str">
        <x:v>Shows common range and point-adjusted metrics can overrate imprecise detections; proposes enhanced temporal precision/recall.</x:v>
      </x:c>
      <x:c r="K83" s="16" t="str">
        <x:v>No metric removes the need to define the operational meaning of an event.</x:v>
      </x:c>
      <x:c r="L83" s="16" t="str">
        <x:v>Reinforces the ban on point-adjusted headline F1 and need for multiple transparent metrics.</x:v>
      </x:c>
      <x:c r="M83" s="16" t="str">
        <x:v>not_applicable</x:v>
      </x:c>
      <x:c r="N83" s="16" t="str">
        <x:v>Metric-behavior study</x:v>
      </x:c>
      <x:c r="O83" s="23" t="str">
        <x:v>No</x:v>
      </x:c>
      <x:c r="P83" s="16" t="str">
        <x:v>Evaluation-method paper.</x:v>
      </x:c>
      <x:c r="Q83" s="16" t="str">
        <x:v>https://dl.acm.org/doi/10.1145/3477314.3507024</x:v>
      </x:c>
      <x:c r="R83" s="23" t="str">
        <x:v>Core</x:v>
      </x:c>
    </x:row>
    <x:row r="84" ht="74" customHeight="1">
      <x:c r="A84" s="23" t="n">
        <x:v>80</x:v>
      </x:c>
      <x:c r="B84" s="23" t="n">
        <x:v>2024</x:v>
      </x:c>
      <x:c r="C84" s="23" t="str">
        <x:v>B</x:v>
      </x:c>
      <x:c r="D84" s="23" t="str">
        <x:v>evaluation</x:v>
      </x:c>
      <x:c r="E84" s="16" t="str">
        <x:v>Position: Quo Vadis, Unsupervised Time Series Anomaly Detection?</x:v>
      </x:c>
      <x:c r="F84" s="16" t="str">
        <x:v>ICML position paper / arXiv</x:v>
      </x:c>
      <x:c r="G84" s="16" t="str">
        <x:v>Unsupervised TSAD research practice</x:v>
      </x:c>
      <x:c r="H84" s="16" t="str">
        <x:v>Method-evaluation</x:v>
      </x:c>
      <x:c r="I84" s="16" t="str">
        <x:v>full_text_checked</x:v>
      </x:c>
      <x:c r="J84" s="16" t="str">
        <x:v>Critiques flawed metrics, inconsistent benchmark practices, and weak justification for deep architectural complexity.</x:v>
      </x:c>
      <x:c r="K84" s="16" t="str">
        <x:v>Position paper rather than a detector benchmark; conclusions should guide protocol, not replace evidence.</x:v>
      </x:c>
      <x:c r="L84" s="16" t="str">
        <x:v>Supports simple strong controls, ablation-driven complexity, and claim restraint.</x:v>
      </x:c>
      <x:c r="M84" s="16" t="str">
        <x:v>not_applicable</x:v>
      </x:c>
      <x:c r="N84" s="16" t="str">
        <x:v>N/A</x:v>
      </x:c>
      <x:c r="O84" s="23" t="str">
        <x:v>No</x:v>
      </x:c>
      <x:c r="P84" s="16" t="str">
        <x:v>Methodological critique.</x:v>
      </x:c>
      <x:c r="Q84" s="16" t="str">
        <x:v>https://arxiv.org/abs/2405.02678</x:v>
      </x:c>
      <x:c r="R84" s="23" t="str">
        <x:v>Core</x:v>
      </x:c>
    </x:row>
    <x:row r="85" ht="74" customHeight="1">
      <x:c r="A85" s="23" t="n">
        <x:v>81</x:v>
      </x:c>
      <x:c r="B85" s="23" t="n">
        <x:v>2012</x:v>
      </x:c>
      <x:c r="C85" s="23" t="str">
        <x:v>A</x:v>
      </x:c>
      <x:c r="D85" s="23" t="str">
        <x:v>onset</x:v>
      </x:c>
      <x:c r="E85" s="16" t="str">
        <x:v>Optimal Detection of Changepoints With a Linear Computational Cost</x:v>
      </x:c>
      <x:c r="F85" s="16" t="str">
        <x:v>Journal of the American Statistical Association</x:v>
      </x:c>
      <x:c r="G85" s="16" t="str">
        <x:v>General offline change-point detection</x:v>
      </x:c>
      <x:c r="H85" s="16" t="str">
        <x:v>Method</x:v>
      </x:c>
      <x:c r="I85" s="16" t="str">
        <x:v>abstract_checked</x:v>
      </x:c>
      <x:c r="J85" s="16" t="str">
        <x:v>Introduces PELT, an exact penalized segmentation algorithm with linear expected cost under stated conditions.</x:v>
      </x:c>
      <x:c r="K85" s="16" t="str">
        <x:v>Offline segmentation gives an estimated statistical change, not physical degradation ground truth.</x:v>
      </x:c>
      <x:c r="L85" s="16" t="str">
        <x:v>Transparent auxiliary onset-sensitivity baseline on engine-level score trajectories.</x:v>
      </x:c>
      <x:c r="M85" s="16" t="str">
        <x:v>not_applicable</x:v>
      </x:c>
      <x:c r="N85" s="16" t="str">
        <x:v>N/A for detector comparison</x:v>
      </x:c>
      <x:c r="O85" s="23" t="str">
        <x:v>No</x:v>
      </x:c>
      <x:c r="P85" s="16" t="str">
        <x:v>Onset-estimation method.</x:v>
      </x:c>
      <x:c r="Q85" s="16" t="str">
        <x:v>https://www.tandfonline.com/doi/full/10.1080/01621459.2012.737745</x:v>
      </x:c>
      <x:c r="R85" s="23" t="str">
        <x:v>Supporting</x:v>
      </x:c>
    </x:row>
    <x:row r="86" ht="74" customHeight="1">
      <x:c r="A86" s="23" t="n">
        <x:v>82</x:v>
      </x:c>
      <x:c r="B86" s="23" t="n">
        <x:v>2007</x:v>
      </x:c>
      <x:c r="C86" s="23" t="str">
        <x:v>B</x:v>
      </x:c>
      <x:c r="D86" s="23" t="str">
        <x:v>onset</x:v>
      </x:c>
      <x:c r="E86" s="16" t="str">
        <x:v>Bayesian Online Changepoint Detection</x:v>
      </x:c>
      <x:c r="F86" s="16" t="str">
        <x:v>arXiv</x:v>
      </x:c>
      <x:c r="G86" s="16" t="str">
        <x:v>Sequential probabilistic change detection</x:v>
      </x:c>
      <x:c r="H86" s="16" t="str">
        <x:v>Method</x:v>
      </x:c>
      <x:c r="I86" s="16" t="str">
        <x:v>abstract_checked</x:v>
      </x:c>
      <x:c r="J86" s="16" t="str">
        <x:v>Maintains a posterior over run length to infer the most recent generative-parameter change online.</x:v>
      </x:c>
      <x:c r="K86" s="16" t="str">
        <x:v>Requires a predictive model and hazard prior; estimated change remains model-dependent.</x:v>
      </x:c>
      <x:c r="L86" s="16" t="str">
        <x:v>Future online onset comparator, not primary evaluation ground truth.</x:v>
      </x:c>
      <x:c r="M86" s="16" t="str">
        <x:v>not_applicable</x:v>
      </x:c>
      <x:c r="N86" s="16" t="str">
        <x:v>N/A</x:v>
      </x:c>
      <x:c r="O86" s="23" t="str">
        <x:v>No</x:v>
      </x:c>
      <x:c r="P86" s="16" t="str">
        <x:v>Change-detection method.</x:v>
      </x:c>
      <x:c r="Q86" s="16" t="str">
        <x:v>https://arxiv.org/abs/0710.3742</x:v>
      </x:c>
      <x:c r="R86" s="23" t="str">
        <x:v>Supporting</x:v>
      </x:c>
    </x:row>
    <x:row r="87" ht="74" customHeight="1">
      <x:c r="A87" s="23" t="n">
        <x:v>83</x:v>
      </x:c>
      <x:c r="B87" s="23" t="n">
        <x:v>2020</x:v>
      </x:c>
      <x:c r="C87" s="23" t="str">
        <x:v>A</x:v>
      </x:c>
      <x:c r="D87" s="23" t="str">
        <x:v>onset</x:v>
      </x:c>
      <x:c r="E87" s="16" t="str">
        <x:v>Selective Review of Offline Change Point Detection Methods</x:v>
      </x:c>
      <x:c r="F87" s="16" t="str">
        <x:v>Signal Processing</x:v>
      </x:c>
      <x:c r="G87" s="16" t="str">
        <x:v>Multivariate offline change-point detection</x:v>
      </x:c>
      <x:c r="H87" s="16" t="str">
        <x:v>Method-review</x:v>
      </x:c>
      <x:c r="I87" s="16" t="str">
        <x:v>full_text_checked</x:v>
      </x:c>
      <x:c r="J87" s="16" t="str">
        <x:v>Organizes methods by cost function, search, and constraint; links theory to the ruptures implementation.</x:v>
      </x:c>
      <x:c r="K87" s="16" t="str">
        <x:v>A broad review; method selection and calibration remain application-specific.</x:v>
      </x:c>
      <x:c r="L87" s="16" t="str">
        <x:v>Decision guide for any auxiliary change-point onset analysis.</x:v>
      </x:c>
      <x:c r="M87" s="16" t="str">
        <x:v>not_applicable</x:v>
      </x:c>
      <x:c r="N87" s="16" t="str">
        <x:v>N/A</x:v>
      </x:c>
      <x:c r="O87" s="23" t="str">
        <x:v>No</x:v>
      </x:c>
      <x:c r="P87" s="16" t="str">
        <x:v>Review paper.</x:v>
      </x:c>
      <x:c r="Q87" s="16" t="str">
        <x:v>https://www.sciencedirect.com/science/article/pii/S0165168419303494</x:v>
      </x:c>
      <x:c r="R87" s="23" t="str">
        <x:v>Core</x:v>
      </x:c>
    </x:row>
    <x:row r="88" ht="74" customHeight="1">
      <x:c r="A88" s="23" t="n">
        <x:v>84</x:v>
      </x:c>
      <x:c r="B88" s="23" t="n">
        <x:v>2013</x:v>
      </x:c>
      <x:c r="C88" s="23" t="str">
        <x:v>A</x:v>
      </x:c>
      <x:c r="D88" s="23" t="str">
        <x:v>onset</x:v>
      </x:c>
      <x:c r="E88" s="16" t="str">
        <x:v>Change-Point Detection in Time-Series Data by Relative Density-Ratio Estimation</x:v>
      </x:c>
      <x:c r="F88" s="16" t="str">
        <x:v>Neural Networks</x:v>
      </x:c>
      <x:c r="G88" s="16" t="str">
        <x:v>General time series</x:v>
      </x:c>
      <x:c r="H88" s="16" t="str">
        <x:v>Method</x:v>
      </x:c>
      <x:c r="I88" s="16" t="str">
        <x:v>abstract_checked</x:v>
      </x:c>
      <x:c r="J88" s="16" t="str">
        <x:v>Estimates relative Pearson divergence directly between neighboring windows without separately estimating densities.</x:v>
      </x:c>
      <x:c r="K88" s="16" t="str">
        <x:v>Window and regularization choices affect onset; not a true FD002 label.</x:v>
      </x:c>
      <x:c r="L88" s="16" t="str">
        <x:v>Nonparametric auxiliary onset method for sensitivity checks.</x:v>
      </x:c>
      <x:c r="M88" s="16" t="str">
        <x:v>not_applicable</x:v>
      </x:c>
      <x:c r="N88" s="16" t="str">
        <x:v>N/A</x:v>
      </x:c>
      <x:c r="O88" s="23" t="str">
        <x:v>No</x:v>
      </x:c>
      <x:c r="P88" s="16" t="str">
        <x:v>Change-point method.</x:v>
      </x:c>
      <x:c r="Q88" s="16" t="str">
        <x:v>https://arxiv.org/abs/1203.0453</x:v>
      </x:c>
      <x:c r="R88" s="23" t="str">
        <x:v>Supporting</x:v>
      </x:c>
    </x:row>
    <x:row r="89" ht="74" customHeight="1">
      <x:c r="A89" s="23" t="n">
        <x:v>85</x:v>
      </x:c>
      <x:c r="B89" s="23" t="n">
        <x:v>2012</x:v>
      </x:c>
      <x:c r="C89" s="23" t="str">
        <x:v>B</x:v>
      </x:c>
      <x:c r="D89" s="23" t="str">
        <x:v>onset</x:v>
      </x:c>
      <x:c r="E89" s="16" t="str">
        <x:v>Kernel Change-Point Detection</x:v>
      </x:c>
      <x:c r="F89" s="16" t="str">
        <x:v>arXiv / HAL</x:v>
      </x:c>
      <x:c r="G89" s="16" t="str">
        <x:v>General multivariate sequences</x:v>
      </x:c>
      <x:c r="H89" s="16" t="str">
        <x:v>Method</x:v>
      </x:c>
      <x:c r="I89" s="16" t="str">
        <x:v>full_text_checked</x:v>
      </x:c>
      <x:c r="J89" s="16" t="str">
        <x:v>Uses kernel representations and model selection to find distributional changes beyond mean shifts.</x:v>
      </x:c>
      <x:c r="K89" s="16" t="str">
        <x:v>Computational and kernel-selection sensitivity; estimated changes are not physical labels.</x:v>
      </x:c>
      <x:c r="L89" s="16" t="str">
        <x:v>Possible non-linear onset comparator after the primary fixed-proxy analysis.</x:v>
      </x:c>
      <x:c r="M89" s="16" t="str">
        <x:v>not_applicable</x:v>
      </x:c>
      <x:c r="N89" s="16" t="str">
        <x:v>N/A</x:v>
      </x:c>
      <x:c r="O89" s="23" t="str">
        <x:v>No</x:v>
      </x:c>
      <x:c r="P89" s="16" t="str">
        <x:v>Change-point method.</x:v>
      </x:c>
      <x:c r="Q89" s="16" t="str">
        <x:v>https://hal.science/hal-00671174v1/document</x:v>
      </x:c>
      <x:c r="R89" s="23" t="str">
        <x:v>Supporting</x:v>
      </x:c>
    </x:row>
    <x:row r="90" ht="74" customHeight="1">
      <x:c r="A90" s="23" t="n">
        <x:v>86</x:v>
      </x:c>
      <x:c r="B90" s="23" t="n">
        <x:v>1959</x:v>
      </x:c>
      <x:c r="C90" s="23" t="str">
        <x:v>A</x:v>
      </x:c>
      <x:c r="D90" s="23" t="str">
        <x:v>dynamic_threshold</x:v>
      </x:c>
      <x:c r="E90" s="16" t="str">
        <x:v>Control Chart Tests Based on Geometric Moving Averages</x:v>
      </x:c>
      <x:c r="F90" s="16" t="str">
        <x:v>Technometrics</x:v>
      </x:c>
      <x:c r="G90" s="16" t="str">
        <x:v>Statistical process monitoring</x:v>
      </x:c>
      <x:c r="H90" s="16" t="str">
        <x:v>Foundational-method</x:v>
      </x:c>
      <x:c r="I90" s="16" t="str">
        <x:v>abstract_checked</x:v>
      </x:c>
      <x:c r="J90" s="16" t="str">
        <x:v>Foundational exponentially/geometrically weighted moving-average monitoring for small process shifts.</x:v>
      </x:c>
      <x:c r="K90" s="16" t="str">
        <x:v>Classical assumptions do not automatically hold for autocorrelated learned anomaly scores.</x:v>
      </x:c>
      <x:c r="L90" s="16" t="str">
        <x:v>Foundational citation and motivation for EWMA ablation, not proof that EWMA improves FD002.</x:v>
      </x:c>
      <x:c r="M90" s="16" t="str">
        <x:v>not_applicable</x:v>
      </x:c>
      <x:c r="N90" s="16" t="str">
        <x:v>N/A</x:v>
      </x:c>
      <x:c r="O90" s="23" t="str">
        <x:v>No</x:v>
      </x:c>
      <x:c r="P90" s="16" t="str">
        <x:v>Foundational method.</x:v>
      </x:c>
      <x:c r="Q90" s="16" t="str">
        <x:v>https://www.tandfonline.com/doi/abs/10.1080/00401706.1959.10489860</x:v>
      </x:c>
      <x:c r="R90" s="23" t="str">
        <x:v>Supporting</x:v>
      </x:c>
    </x:row>
    <x:row r="91" ht="74" customHeight="1">
      <x:c r="A91" s="23" t="n">
        <x:v>87</x:v>
      </x:c>
      <x:c r="B91" s="23" t="n">
        <x:v>1954</x:v>
      </x:c>
      <x:c r="C91" s="23" t="str">
        <x:v>A</x:v>
      </x:c>
      <x:c r="D91" s="23" t="str">
        <x:v>dynamic_threshold</x:v>
      </x:c>
      <x:c r="E91" s="16" t="str">
        <x:v>Continuous Inspection Schemes</x:v>
      </x:c>
      <x:c r="F91" s="16" t="str">
        <x:v>Biometrika</x:v>
      </x:c>
      <x:c r="G91" s="16" t="str">
        <x:v>Sequential quality control</x:v>
      </x:c>
      <x:c r="H91" s="16" t="str">
        <x:v>Foundational-method</x:v>
      </x:c>
      <x:c r="I91" s="16" t="str">
        <x:v>official_record_checked</x:v>
      </x:c>
      <x:c r="J91" s="16" t="str">
        <x:v>Introduces cumulative-sum inspection logic for persistent sequential shifts.</x:v>
      </x:c>
      <x:c r="K91" s="16" t="str">
        <x:v>CUSUM requires a declared in-control distribution and tuning for score dependence.</x:v>
      </x:c>
      <x:c r="L91" s="16" t="str">
        <x:v>Comparator to persistence/EWMA if threshold study budget permits.</x:v>
      </x:c>
      <x:c r="M91" s="16" t="str">
        <x:v>not_applicable</x:v>
      </x:c>
      <x:c r="N91" s="16" t="str">
        <x:v>N/A</x:v>
      </x:c>
      <x:c r="O91" s="23" t="str">
        <x:v>No</x:v>
      </x:c>
      <x:c r="P91" s="16" t="str">
        <x:v>Foundational method.</x:v>
      </x:c>
      <x:c r="Q91" s="16" t="str">
        <x:v>https://academic.oup.com/biomet/article-abstract/41/1-2/100/456627</x:v>
      </x:c>
      <x:c r="R91" s="23" t="str">
        <x:v>Supporting</x:v>
      </x:c>
    </x:row>
    <x:row r="92" ht="74" customHeight="1">
      <x:c r="A92" s="23" t="n">
        <x:v>88</x:v>
      </x:c>
      <x:c r="B92" s="23" t="n">
        <x:v>2007</x:v>
      </x:c>
      <x:c r="C92" s="23" t="str">
        <x:v>A</x:v>
      </x:c>
      <x:c r="D92" s="23" t="str">
        <x:v>online_drift</x:v>
      </x:c>
      <x:c r="E92" s="16" t="str">
        <x:v>Learning from Time-Changing Data with Adaptive Windowing</x:v>
      </x:c>
      <x:c r="F92" s="16" t="str">
        <x:v>SIAM International Conference on Data Mining</x:v>
      </x:c>
      <x:c r="G92" s="16" t="str">
        <x:v>Streaming concept drift</x:v>
      </x:c>
      <x:c r="H92" s="16" t="str">
        <x:v>Method</x:v>
      </x:c>
      <x:c r="I92" s="16" t="str">
        <x:v>abstract_checked</x:v>
      </x:c>
      <x:c r="J92" s="16" t="str">
        <x:v>ADWIN adapts the window length from statistically detected changes rather than a fixed update horizon.</x:v>
      </x:c>
      <x:c r="K92" s="16" t="str">
        <x:v>Blind adaptation can still learn degradation; detector updates need a healthy-state gate.</x:v>
      </x:c>
      <x:c r="L92" s="16" t="str">
        <x:v>Evidence for explicit drift logic if online recalibration is studied later.</x:v>
      </x:c>
      <x:c r="M92" s="16" t="str">
        <x:v>not_applicable</x:v>
      </x:c>
      <x:c r="N92" s="16" t="str">
        <x:v>N/A</x:v>
      </x:c>
      <x:c r="O92" s="23" t="str">
        <x:v>No</x:v>
      </x:c>
      <x:c r="P92" s="16" t="str">
        <x:v>Drift method.</x:v>
      </x:c>
      <x:c r="Q92" s="16" t="str">
        <x:v>https://epubs.siam.org/doi/10.1137/1.9781611972771.42</x:v>
      </x:c>
      <x:c r="R92" s="23" t="str">
        <x:v>Supporting</x:v>
      </x:c>
    </x:row>
    <x:row r="93" ht="74" customHeight="1">
      <x:c r="A93" s="23" t="n">
        <x:v>89</x:v>
      </x:c>
      <x:c r="B93" s="23" t="n">
        <x:v>2014</x:v>
      </x:c>
      <x:c r="C93" s="23" t="str">
        <x:v>A</x:v>
      </x:c>
      <x:c r="D93" s="23" t="str">
        <x:v>online_drift</x:v>
      </x:c>
      <x:c r="E93" s="16" t="str">
        <x:v>A Survey on Concept Drift Adaptation</x:v>
      </x:c>
      <x:c r="F93" s="16" t="str">
        <x:v>ACM Computing Surveys</x:v>
      </x:c>
      <x:c r="G93" s="16" t="str">
        <x:v>Adaptive learning under drift</x:v>
      </x:c>
      <x:c r="H93" s="16" t="str">
        <x:v>Method-review</x:v>
      </x:c>
      <x:c r="I93" s="16" t="str">
        <x:v>abstract_checked</x:v>
      </x:c>
      <x:c r="J93" s="16" t="str">
        <x:v>Taxonomizes drift detection, adaptation strategies, evaluation, and application settings.</x:v>
      </x:c>
      <x:c r="K93" s="16" t="str">
        <x:v>Concept drift is not identical to irreversible degradation and supervised framing often differs.</x:v>
      </x:c>
      <x:c r="L93" s="16" t="str">
        <x:v>Frames safe adaptation as a separate research problem rather than default threshold updating.</x:v>
      </x:c>
      <x:c r="M93" s="16" t="str">
        <x:v>not_applicable</x:v>
      </x:c>
      <x:c r="N93" s="16" t="str">
        <x:v>N/A</x:v>
      </x:c>
      <x:c r="O93" s="23" t="str">
        <x:v>No</x:v>
      </x:c>
      <x:c r="P93" s="16" t="str">
        <x:v>Review paper.</x:v>
      </x:c>
      <x:c r="Q93" s="16" t="str">
        <x:v>https://dl.acm.org/doi/10.1145/2523813</x:v>
      </x:c>
      <x:c r="R93" s="23" t="str">
        <x:v>Core</x:v>
      </x:c>
    </x:row>
    <x:row r="94" ht="74" customHeight="1">
      <x:c r="A94" s="23" t="n">
        <x:v>90</x:v>
      </x:c>
      <x:c r="B94" s="23" t="n">
        <x:v>2016</x:v>
      </x:c>
      <x:c r="C94" s="23" t="str">
        <x:v>A</x:v>
      </x:c>
      <x:c r="D94" s="23" t="str">
        <x:v>explainability</x:v>
      </x:c>
      <x:c r="E94" s="16" t="str">
        <x:v>Why Should I Trust You?: Explaining the Predictions of Any Classifier</x:v>
      </x:c>
      <x:c r="F94" s="16" t="str">
        <x:v>ACM KDD</x:v>
      </x:c>
      <x:c r="G94" s="16" t="str">
        <x:v>Model-agnostic local explanation</x:v>
      </x:c>
      <x:c r="H94" s="16" t="str">
        <x:v>Method</x:v>
      </x:c>
      <x:c r="I94" s="16" t="str">
        <x:v>abstract_checked</x:v>
      </x:c>
      <x:c r="J94" s="16" t="str">
        <x:v>Introduces LIME, fitting an interpretable local surrogate around an individual prediction.</x:v>
      </x:c>
      <x:c r="K94" s="16" t="str">
        <x:v>Local surrogate fidelity and perturbation design are crucial, especially for correlated sequences.</x:v>
      </x:c>
      <x:c r="L94" s="16" t="str">
        <x:v>Supports explicit fidelity checks and cautions against relabeling heuristics as explanations.</x:v>
      </x:c>
      <x:c r="M94" s="16" t="str">
        <x:v>not_applicable</x:v>
      </x:c>
      <x:c r="N94" s="16" t="str">
        <x:v>N/A</x:v>
      </x:c>
      <x:c r="O94" s="23" t="str">
        <x:v>No</x:v>
      </x:c>
      <x:c r="P94" s="16" t="str">
        <x:v>Explanation method.</x:v>
      </x:c>
      <x:c r="Q94" s="16" t="str">
        <x:v>https://dl.acm.org/doi/10.1145/2939672.2939778</x:v>
      </x:c>
      <x:c r="R94" s="23" t="str">
        <x:v>Supporting</x:v>
      </x:c>
    </x:row>
    <x:row r="95" ht="74" customHeight="1">
      <x:c r="A95" s="23" t="n">
        <x:v>91</x:v>
      </x:c>
      <x:c r="B95" s="23" t="n">
        <x:v>2017</x:v>
      </x:c>
      <x:c r="C95" s="23" t="str">
        <x:v>A</x:v>
      </x:c>
      <x:c r="D95" s="23" t="str">
        <x:v>explainability</x:v>
      </x:c>
      <x:c r="E95" s="16" t="str">
        <x:v>Axiomatic Attribution for Deep Networks</x:v>
      </x:c>
      <x:c r="F95" s="16" t="str">
        <x:v>ICML / PMLR</x:v>
      </x:c>
      <x:c r="G95" s="16" t="str">
        <x:v>Deep neural networks</x:v>
      </x:c>
      <x:c r="H95" s="16" t="str">
        <x:v>Method</x:v>
      </x:c>
      <x:c r="I95" s="16" t="str">
        <x:v>full_text_checked</x:v>
      </x:c>
      <x:c r="J95" s="16" t="str">
        <x:v>Introduces Integrated Gradients using sensitivity and implementation-invariance axioms.</x:v>
      </x:c>
      <x:c r="K95" s="16" t="str">
        <x:v>Attributions depend on the baseline and explain a scalar model output, not necessarily a causal fault.</x:v>
      </x:c>
      <x:c r="L95" s="16" t="str">
        <x:v>Possible native attribution for the frozen differentiable anomaly score after reconstruction contributions.</x:v>
      </x:c>
      <x:c r="M95" s="16" t="str">
        <x:v>not_applicable</x:v>
      </x:c>
      <x:c r="N95" s="16" t="str">
        <x:v>N/A</x:v>
      </x:c>
      <x:c r="O95" s="23" t="str">
        <x:v>No</x:v>
      </x:c>
      <x:c r="P95" s="16" t="str">
        <x:v>Explanation method.</x:v>
      </x:c>
      <x:c r="Q95" s="16" t="str">
        <x:v>https://proceedings.mlr.press/v70/sundararajan17a.html</x:v>
      </x:c>
      <x:c r="R95" s="23" t="str">
        <x:v>Supporting</x:v>
      </x:c>
    </x:row>
    <x:row r="96" ht="74" customHeight="1">
      <x:c r="A96" s="23" t="n">
        <x:v>92</x:v>
      </x:c>
      <x:c r="B96" s="23" t="n">
        <x:v>2017</x:v>
      </x:c>
      <x:c r="C96" s="23" t="str">
        <x:v>A</x:v>
      </x:c>
      <x:c r="D96" s="23" t="str">
        <x:v>explainability</x:v>
      </x:c>
      <x:c r="E96" s="16" t="str">
        <x:v>Learning Important Features Through Propagating Activation Differences</x:v>
      </x:c>
      <x:c r="F96" s="16" t="str">
        <x:v>ICML / PMLR</x:v>
      </x:c>
      <x:c r="G96" s="16" t="str">
        <x:v>Deep neural networks</x:v>
      </x:c>
      <x:c r="H96" s="16" t="str">
        <x:v>Method</x:v>
      </x:c>
      <x:c r="I96" s="16" t="str">
        <x:v>full_text_checked</x:v>
      </x:c>
      <x:c r="J96" s="16" t="str">
        <x:v>DeepLIFT decomposes output differences from a reference activation into feature contributions.</x:v>
      </x:c>
      <x:c r="K96" s="16" t="str">
        <x:v>Reference choice and network operation rules affect interpretation.</x:v>
      </x:c>
      <x:c r="L96" s="16" t="str">
        <x:v>Secondary native-gradient-style explainer if a scalar score explanation is needed.</x:v>
      </x:c>
      <x:c r="M96" s="16" t="str">
        <x:v>not_applicable</x:v>
      </x:c>
      <x:c r="N96" s="16" t="str">
        <x:v>N/A</x:v>
      </x:c>
      <x:c r="O96" s="23" t="str">
        <x:v>No</x:v>
      </x:c>
      <x:c r="P96" s="16" t="str">
        <x:v>Explanation method.</x:v>
      </x:c>
      <x:c r="Q96" s="16" t="str">
        <x:v>https://proceedings.mlr.press/v70/shrikumar17a.html</x:v>
      </x:c>
      <x:c r="R96" s="23" t="str">
        <x:v>Supporting</x:v>
      </x:c>
    </x:row>
    <x:row r="97" ht="74" customHeight="1">
      <x:c r="A97" s="23" t="n">
        <x:v>93</x:v>
      </x:c>
      <x:c r="B97" s="23" t="n">
        <x:v>2021</x:v>
      </x:c>
      <x:c r="C97" s="23" t="str">
        <x:v>A</x:v>
      </x:c>
      <x:c r="D97" s="23" t="str">
        <x:v>explainability</x:v>
      </x:c>
      <x:c r="E97" s="16" t="str">
        <x:v>TimeSHAP: Explaining Recurrent Models through Sequence Perturbations</x:v>
      </x:c>
      <x:c r="F97" s="16" t="str">
        <x:v>ACM KDD</x:v>
      </x:c>
      <x:c r="G97" s="16" t="str">
        <x:v>Recurrent sequence models</x:v>
      </x:c>
      <x:c r="H97" s="16" t="str">
        <x:v>Method</x:v>
      </x:c>
      <x:c r="I97" s="16" t="str">
        <x:v>full_text_checked</x:v>
      </x:c>
      <x:c r="J97" s="16" t="str">
        <x:v>Extends KernelSHAP to feature-, event-, and cell-level attributions with sequence pruning.</x:v>
      </x:c>
      <x:c r="K97" s="16" t="str">
        <x:v>Computational cost, perturbation realism, and correlated sensor-time inputs can weaken fidelity.</x:v>
      </x:c>
      <x:c r="L97" s="16" t="str">
        <x:v>Most relevant optional SHAP-family method for an LSTM, after native contribution maps are validated.</x:v>
      </x:c>
      <x:c r="M97" s="16" t="str">
        <x:v>not_applicable</x:v>
      </x:c>
      <x:c r="N97" s="16" t="str">
        <x:v>N/A</x:v>
      </x:c>
      <x:c r="O97" s="23" t="str">
        <x:v>No</x:v>
      </x:c>
      <x:c r="P97" s="16" t="str">
        <x:v>Explanation method.</x:v>
      </x:c>
      <x:c r="Q97" s="16" t="str">
        <x:v>https://dl.acm.org/doi/10.1145/3447548.3467166</x:v>
      </x:c>
      <x:c r="R97" s="23" t="str">
        <x:v>Core</x:v>
      </x:c>
    </x:row>
    <x:row r="98" ht="74" customHeight="1">
      <x:c r="A98" s="23" t="n">
        <x:v>94</x:v>
      </x:c>
      <x:c r="B98" s="23" t="n">
        <x:v>2021</x:v>
      </x:c>
      <x:c r="C98" s="23" t="str">
        <x:v>A</x:v>
      </x:c>
      <x:c r="D98" s="23" t="str">
        <x:v>explainability</x:v>
      </x:c>
      <x:c r="E98" s="16" t="str">
        <x:v>Explaining Anomalies Detected by Autoencoders Using SHAP</x:v>
      </x:c>
      <x:c r="F98" s="16" t="str">
        <x:v>Expert Systems with Applications</x:v>
      </x:c>
      <x:c r="G98" s="16" t="str">
        <x:v>Autoencoder anomaly detection</x:v>
      </x:c>
      <x:c r="H98" s="16" t="str">
        <x:v>Method</x:v>
      </x:c>
      <x:c r="I98" s="16" t="str">
        <x:v>full_text_checked</x:v>
      </x:c>
      <x:c r="J98" s="16" t="str">
        <x:v>Uses KernelSHAP around an autoencoder anomaly score to show features increasing or offsetting anomalousness.</x:v>
      </x:c>
      <x:c r="K98" s="16" t="str">
        <x:v>Perturbations and surrogate fidelity must be validated; explanations are not root-cause proof.</x:v>
      </x:c>
      <x:c r="L98" s="16" t="str">
        <x:v>Direct precedent for optional AE-SHAP after removing the current placeholder payload.</x:v>
      </x:c>
      <x:c r="M98" s="16" t="str">
        <x:v>not_applicable</x:v>
      </x:c>
      <x:c r="N98" s="16" t="str">
        <x:v>N/A</x:v>
      </x:c>
      <x:c r="O98" s="23" t="str">
        <x:v>No</x:v>
      </x:c>
      <x:c r="P98" s="16" t="str">
        <x:v>Explanation method.</x:v>
      </x:c>
      <x:c r="Q98" s="16" t="str">
        <x:v>https://dl.acm.org/doi/10.1016/j.eswa.2021.115736</x:v>
      </x:c>
      <x:c r="R98" s="23" t="str">
        <x:v>Core</x:v>
      </x:c>
    </x:row>
    <x:row r="99" ht="74" customHeight="1">
      <x:c r="A99" s="23" t="n">
        <x:v>95</x:v>
      </x:c>
      <x:c r="B99" s="23" t="n">
        <x:v>2005</x:v>
      </x:c>
      <x:c r="C99" s="23" t="str">
        <x:v>A</x:v>
      </x:c>
      <x:c r="D99" s="23" t="str">
        <x:v>ensemble</x:v>
      </x:c>
      <x:c r="E99" s="16" t="str">
        <x:v>Feature Bagging for Outlier Detection</x:v>
      </x:c>
      <x:c r="F99" s="16" t="str">
        <x:v>ACM KDD</x:v>
      </x:c>
      <x:c r="G99" s="16" t="str">
        <x:v>High-dimensional outlier detection</x:v>
      </x:c>
      <x:c r="H99" s="16" t="str">
        <x:v>Method</x:v>
      </x:c>
      <x:c r="I99" s="16" t="str">
        <x:v>abstract_checked</x:v>
      </x:c>
      <x:c r="J99" s="16" t="str">
        <x:v>Combines outlier detectors trained on random feature subsets to improve robustness in noisy high dimensions.</x:v>
      </x:c>
      <x:c r="K99" s="16" t="str">
        <x:v>Random sensor subsets may destroy important temporal/physical dependencies.</x:v>
      </x:c>
      <x:c r="L99" s="16" t="str">
        <x:v>Historical ensemble precedent; supports ablation before assuming fusion helps.</x:v>
      </x:c>
      <x:c r="M99" s="16" t="str">
        <x:v>not_extracted</x:v>
      </x:c>
      <x:c r="N99" s="16" t="str">
        <x:v>General outlier benchmarks</x:v>
      </x:c>
      <x:c r="O99" s="23" t="str">
        <x:v>No</x:v>
      </x:c>
      <x:c r="P99" s="16" t="str">
        <x:v>Different datasets and representations.</x:v>
      </x:c>
      <x:c r="Q99" s="16" t="str">
        <x:v>https://dl.acm.org/doi/10.1145/1081870.1081891</x:v>
      </x:c>
      <x:c r="R99" s="23" t="str">
        <x:v>Supporting</x:v>
      </x:c>
    </x:row>
    <x:row r="100" ht="74" customHeight="1">
      <x:c r="A100" s="23" t="n">
        <x:v>96</x:v>
      </x:c>
      <x:c r="B100" s="23" t="n">
        <x:v>2019</x:v>
      </x:c>
      <x:c r="C100" s="23" t="str">
        <x:v>A</x:v>
      </x:c>
      <x:c r="D100" s="23" t="str">
        <x:v>ensemble</x:v>
      </x:c>
      <x:c r="E100" s="16" t="str">
        <x:v>LSCP: Locally Selective Combination in Parallel Outlier Ensembles</x:v>
      </x:c>
      <x:c r="F100" s="16" t="str">
        <x:v>SIAM International Conference on Data Mining</x:v>
      </x:c>
      <x:c r="G100" s="16" t="str">
        <x:v>General unsupervised outlier detection</x:v>
      </x:c>
      <x:c r="H100" s="16" t="str">
        <x:v>Method</x:v>
      </x:c>
      <x:c r="I100" s="16" t="str">
        <x:v>full_text_checked</x:v>
      </x:c>
      <x:c r="J100" s="16" t="str">
        <x:v>Selects locally competent base outlier detectors before combining their scores.</x:v>
      </x:c>
      <x:c r="K100" s="16" t="str">
        <x:v>Competence estimation without ground truth adds complexity and possible overfitting.</x:v>
      </x:c>
      <x:c r="L100" s="16" t="str">
        <x:v>Evidence that fusion is a model-selection problem, not a free performance gain.</x:v>
      </x:c>
      <x:c r="M100" s="16" t="str">
        <x:v>not_extracted</x:v>
      </x:c>
      <x:c r="N100" s="16" t="str">
        <x:v>20 tabular datasets; not FD002</x:v>
      </x:c>
      <x:c r="O100" s="23" t="str">
        <x:v>No</x:v>
      </x:c>
      <x:c r="P100" s="16" t="str">
        <x:v>Different data and selection protocol.</x:v>
      </x:c>
      <x:c r="Q100" s="16" t="str">
        <x:v>https://epubs.siam.org/doi/10.1137/1.9781611975673.66</x:v>
      </x:c>
      <x:c r="R100" s="23" t="str">
        <x:v>Supporting</x:v>
      </x:c>
    </x:row>
    <x:row r="101" ht="74" customHeight="1">
      <x:c r="A101" s="23" t="n">
        <x:v>97</x:v>
      </x:c>
      <x:c r="B101" s="23" t="n">
        <x:v>2021</x:v>
      </x:c>
      <x:c r="C101" s="23" t="str">
        <x:v>A</x:v>
      </x:c>
      <x:c r="D101" s="23" t="str">
        <x:v>ensemble</x:v>
      </x:c>
      <x:c r="E101" s="16" t="str">
        <x:v>SUOD: Accelerating Large-Scale Unsupervised Heterogeneous Outlier Detection</x:v>
      </x:c>
      <x:c r="F101" s="16" t="str">
        <x:v>MLSys</x:v>
      </x:c>
      <x:c r="G101" s="16" t="str">
        <x:v>Large heterogeneous outlier ensembles</x:v>
      </x:c>
      <x:c r="H101" s="16" t="str">
        <x:v>Method</x:v>
      </x:c>
      <x:c r="I101" s="16" t="str">
        <x:v>full_text_checked</x:v>
      </x:c>
      <x:c r="J101" s="16" t="str">
        <x:v>Accelerates many heterogeneous detectors using data reduction, model approximation, and balanced scheduling.</x:v>
      </x:c>
      <x:c r="K101" s="16" t="str">
        <x:v>An acceleration system does not establish that an ensemble improves scientific validity.</x:v>
      </x:c>
      <x:c r="L101" s="16" t="str">
        <x:v>Scaling option only if many detector variants are later justified.</x:v>
      </x:c>
      <x:c r="M101" s="16" t="str">
        <x:v>not_extracted</x:v>
      </x:c>
      <x:c r="N101" s="16" t="str">
        <x:v>Runtime/accuracy on &gt;20 benchmarks</x:v>
      </x:c>
      <x:c r="O101" s="23" t="str">
        <x:v>No</x:v>
      </x:c>
      <x:c r="P101" s="16" t="str">
        <x:v>Different goal and datasets.</x:v>
      </x:c>
      <x:c r="Q101" s="16" t="str">
        <x:v>https://proceedings.mlsys.org/paper_files/paper/2021/file/37385144cac01dff38247ab11c119e3c-Paper.pdf</x:v>
      </x:c>
      <x:c r="R101" s="23" t="str">
        <x:v>Background</x:v>
      </x:c>
    </x:row>
    <x:row r="102" ht="74" customHeight="1">
      <x:c r="A102" s="23" t="n">
        <x:v>98</x:v>
      </x:c>
      <x:c r="B102" s="23" t="n">
        <x:v>2011</x:v>
      </x:c>
      <x:c r="C102" s="23" t="str">
        <x:v>A</x:v>
      </x:c>
      <x:c r="D102" s="23" t="str">
        <x:v>score_calibration</x:v>
      </x:c>
      <x:c r="E102" s="16" t="str">
        <x:v>Interpreting and Unifying Outlier Scores</x:v>
      </x:c>
      <x:c r="F102" s="16" t="str">
        <x:v>SIAM International Conference on Data Mining</x:v>
      </x:c>
      <x:c r="G102" s="16" t="str">
        <x:v>General outlier scoring</x:v>
      </x:c>
      <x:c r="H102" s="16" t="str">
        <x:v>Method</x:v>
      </x:c>
      <x:c r="I102" s="16" t="str">
        <x:v>full_text_checked</x:v>
      </x:c>
      <x:c r="J102" s="16" t="str">
        <x:v>Maps heterogeneous arbitrary outlier factors to a common interpretable range before comparison or combination.</x:v>
      </x:c>
      <x:c r="K102" s="16" t="str">
        <x:v>Probability-like normalization is model-based and not guaranteed to be calibrated probability.</x:v>
      </x:c>
      <x:c r="L102" s="16" t="str">
        <x:v>Direct support for frozen training-fitted score calibration before any fusion.</x:v>
      </x:c>
      <x:c r="M102" s="16" t="str">
        <x:v>not_applicable</x:v>
      </x:c>
      <x:c r="N102" s="16" t="str">
        <x:v>N/A</x:v>
      </x:c>
      <x:c r="O102" s="23" t="str">
        <x:v>No</x:v>
      </x:c>
      <x:c r="P102" s="16" t="str">
        <x:v>Score-transformation method.</x:v>
      </x:c>
      <x:c r="Q102" s="16" t="str">
        <x:v>https://epubs.siam.org/doi/10.1137/1.9781611972818.2</x:v>
      </x:c>
      <x:c r="R102" s="23" t="str">
        <x:v>Core</x:v>
      </x:c>
    </x:row>
    <x:row r="103" ht="74" customHeight="1">
      <x:c r="A103" s="23" t="n">
        <x:v>99</x:v>
      </x:c>
      <x:c r="B103" s="23" t="n">
        <x:v>2021</x:v>
      </x:c>
      <x:c r="C103" s="23" t="str">
        <x:v>A</x:v>
      </x:c>
      <x:c r="D103" s="23" t="str">
        <x:v>explainability</x:v>
      </x:c>
      <x:c r="E103" s="16" t="str">
        <x:v>Explainable Deep One-Class Classification</x:v>
      </x:c>
      <x:c r="F103" s="16" t="str">
        <x:v>ICLR</x:v>
      </x:c>
      <x:c r="G103" s="16" t="str">
        <x:v>Image anomaly detection</x:v>
      </x:c>
      <x:c r="H103" s="16" t="str">
        <x:v>Method</x:v>
      </x:c>
      <x:c r="I103" s="16" t="str">
        <x:v>full_text_checked</x:v>
      </x:c>
      <x:c r="J103" s="16" t="str">
        <x:v>FCDD makes a fully convolutional one-class output map serve directly as an anomaly explanation map.</x:v>
      </x:c>
      <x:c r="K103" s="16" t="str">
        <x:v>Image-specific architecture; not directly applicable to 30-by-21 sensor sequences.</x:v>
      </x:c>
      <x:c r="L103" s="16" t="str">
        <x:v>Evidence that explanation can be native to the detector rather than a mislabeled post-hoc heuristic.</x:v>
      </x:c>
      <x:c r="M103" s="16" t="str">
        <x:v>not_extracted</x:v>
      </x:c>
      <x:c r="N103" s="16" t="str">
        <x:v>Image benchmark metrics</x:v>
      </x:c>
      <x:c r="O103" s="23" t="str">
        <x:v>No</x:v>
      </x:c>
      <x:c r="P103" s="16" t="str">
        <x:v>Different modality.</x:v>
      </x:c>
      <x:c r="Q103" s="16" t="str">
        <x:v>https://openreview.net/forum?id=A5VV3UyIQz</x:v>
      </x:c>
      <x:c r="R103" s="23" t="str">
        <x:v>Background</x:v>
      </x:c>
    </x:row>
    <x:row r="104" ht="74" customHeight="1">
      <x:c r="A104" s="23" t="n">
        <x:v>100</x:v>
      </x:c>
      <x:c r="B104" s="23" t="n">
        <x:v>2016</x:v>
      </x:c>
      <x:c r="C104" s="23" t="str">
        <x:v>A</x:v>
      </x:c>
      <x:c r="D104" s="23" t="str">
        <x:v>evaluation</x:v>
      </x:c>
      <x:c r="E104" s="16" t="str">
        <x:v>On the Evaluation of Unsupervised Outlier Detection: Measures, Datasets, and an Empirical Study</x:v>
      </x:c>
      <x:c r="F104" s="16" t="str">
        <x:v>Data Mining and Knowledge Discovery</x:v>
      </x:c>
      <x:c r="G104" s="16" t="str">
        <x:v>Unsupervised outlier detection benchmarks</x:v>
      </x:c>
      <x:c r="H104" s="16" t="str">
        <x:v>Method-evaluation</x:v>
      </x:c>
      <x:c r="I104" s="16" t="str">
        <x:v>abstract_checked</x:v>
      </x:c>
      <x:c r="J104" s="16" t="str">
        <x:v>Studies evaluation measures, benchmark construction, contamination, and instability across many outlier detectors.</x:v>
      </x:c>
      <x:c r="K104" s="16" t="str">
        <x:v>Mostly tabular outlier settings; temporal grouping and early warning require additional metrics.</x:v>
      </x:c>
      <x:c r="L104" s="16" t="str">
        <x:v>Supports careful benchmark construction and multiple strong classical controls.</x:v>
      </x:c>
      <x:c r="M104" s="16" t="str">
        <x:v>not_extracted</x:v>
      </x:c>
      <x:c r="N104" s="16" t="str">
        <x:v>Large empirical study; no single comparable metric</x:v>
      </x:c>
      <x:c r="O104" s="23" t="str">
        <x:v>No</x:v>
      </x:c>
      <x:c r="P104" s="16" t="str">
        <x:v>Different datasets and evaluation units.</x:v>
      </x:c>
      <x:c r="Q104" s="16" t="str">
        <x:v>https://dl.acm.org/doi/10.1007/s10618-015-0444-8</x:v>
      </x:c>
      <x:c r="R104" s="23" t="str">
        <x:v>Core</x:v>
      </x:c>
    </x:row>
  </x:sheetData>
  <x:mergeCells>
    <x:mergeCell ref="A1:R1"/>
    <x:mergeCell ref="A2:R2"/>
  </x:mergeCells>
  <x:conditionalFormatting sqref="I5:I104">
    <x:cfRule type="containsText" dxfId="0" priority="1" operator="containsText" text="full_text_checked"/>
    <x:cfRule type="containsText" dxfId="1" priority="2" operator="containsText" text="abstract"/>
  </x:conditionalFormatting>
  <x:conditionalFormatting sqref="R5:R104">
    <x:cfRule type="containsText" dxfId="2" priority="3" operator="containsText" text="Core"/>
    <x:cfRule type="containsText" dxfId="3" priority="4" operator="containsText" text="Background"/>
  </x:conditionalFormatting>
  <x:pageMargins left="0.7" right="0.7" top="0.75" bottom="0.75" header="0.3" footer="0.3"/>
  <x:tableParts count="1">
    <x:tablePart xmlns:r="http://schemas.openxmlformats.org/officeDocument/2006/relationships" r:id="R726c0036d8bd4e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34" hidden="0" customWidth="1"/>
    <x:col min="5" max="5" width="34" hidden="0" customWidth="1"/>
    <x:col min="6" max="6" width="34" hidden="0" customWidth="1"/>
    <x:col min="7" max="7" width="26" hidden="0" customWidth="1"/>
    <x:col min="8" max="8" width="20" hidden="0" customWidth="1"/>
    <x:col min="9" max="9" width="20" hidden="0" customWidth="1"/>
    <x:col min="10" max="10" width="24" hidden="0" customWidth="1"/>
    <x:col min="11" max="11" width="48" hidden="0" customWidth="1"/>
    <x:col min="12" max="12" width="24" hidden="0" customWidth="1"/>
    <x:col min="13" max="13" width="24" hidden="0" customWidth="1"/>
    <x:col min="14" max="14" width="50" hidden="0" customWidth="1"/>
  </x:cols>
  <x:sheetData>
    <x:row r="1" ht="30" customHeight="1">
      <x:c r="A1" s="3" t="str">
        <x:v>Direct Metrics and Comparability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Only rows marked Yes may be compared numerically. Literature values are retained mainly to show why definitions and protocols must accompany every number.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22" t="str">
        <x:v>Entry</x:v>
      </x:c>
      <x:c r="B4" s="22" t="str">
        <x:v>Source / Study</x:v>
      </x:c>
      <x:c r="C4" s="22" t="str">
        <x:v>Dataset</x:v>
      </x:c>
      <x:c r="D4" s="22" t="str">
        <x:v>Split / Evaluation Unit</x:v>
      </x:c>
      <x:c r="E4" s="22" t="str">
        <x:v>Label / Onset Rule</x:v>
      </x:c>
      <x:c r="F4" s="22" t="str">
        <x:v>Model / Pipeline</x:v>
      </x:c>
      <x:c r="G4" s="22" t="str">
        <x:v>Metric</x:v>
      </x:c>
      <x:c r="H4" s="22" t="str">
        <x:v>Reported Value</x:v>
      </x:c>
      <x:c r="I4" s="22" t="str">
        <x:v>Our Closest Value</x:v>
      </x:c>
      <x:c r="J4" s="22" t="str">
        <x:v>Directly Comparable?</x:v>
      </x:c>
      <x:c r="K4" s="22" t="str">
        <x:v>Reason</x:v>
      </x:c>
      <x:c r="L4" s="22" t="str">
        <x:v>Evidence Class</x:v>
      </x:c>
      <x:c r="M4" s="22" t="str">
        <x:v>Source ID / Commit</x:v>
      </x:c>
      <x:c r="N4" s="22" t="str">
        <x:v>Source URL / Artifact</x:v>
      </x:c>
    </x:row>
    <x:row r="5" ht="64" customHeight="1">
      <x:c r="A5" s="16" t="n">
        <x:v>1</x:v>
      </x:c>
      <x:c r="B5" s="16" t="str">
        <x:v>Current project</x:v>
      </x:c>
      <x:c r="C5" s="16" t="str">
        <x:v>FD002</x:v>
      </x:c>
      <x:c r="D5" s="16" t="str">
        <x:v>156 train engines / 52 validation engines</x:v>
      </x:c>
      <x:c r="E5" s="16" t="str">
        <x:v>Mean across endpoint final 10/20/30% proxy policies</x:v>
      </x:c>
      <x:c r="F5" s="16" t="str">
        <x:v>P1 K=6 + LOF</x:v>
      </x:c>
      <x:c r="G5" s="16" t="str">
        <x:v>Mean validation PR-AUC</x:v>
      </x:c>
      <x:c r="H5" s="24" t="n">
        <x:v>0.8496951349</x:v>
      </x:c>
      <x:c r="I5" s="24" t="n">
        <x:v>0.8496951349</x:v>
      </x:c>
      <x:c r="J5" s="16" t="str">
        <x:v>Yes (within project only)</x:v>
      </x:c>
      <x:c r="K5" s="16" t="str">
        <x:v>Comparable with the current P0 LOF row under the same manifest and policies.</x:v>
      </x:c>
      <x:c r="L5" s="16" t="str">
        <x:v>Validation proxy diagnostic</x:v>
      </x:c>
      <x:c r="M5" s="16" t="str">
        <x:v>3aa9f0f</x:v>
      </x:c>
      <x:c r="N5" s="16" t="str">
        <x:v>reports/baselines_v2/selected_models.csv</x:v>
      </x:c>
    </x:row>
    <x:row r="6" ht="64" customHeight="1">
      <x:c r="A6" s="16" t="n">
        <x:v>2</x:v>
      </x:c>
      <x:c r="B6" s="16" t="str">
        <x:v>Current project</x:v>
      </x:c>
      <x:c r="C6" s="16" t="str">
        <x:v>FD002</x:v>
      </x:c>
      <x:c r="D6" s="16" t="str">
        <x:v>Same engine-disjoint validation set</x:v>
      </x:c>
      <x:c r="E6" s="16" t="str">
        <x:v>Same three endpoint proxies</x:v>
      </x:c>
      <x:c r="F6" s="16" t="str">
        <x:v>P0 global + LOF</x:v>
      </x:c>
      <x:c r="G6" s="16" t="str">
        <x:v>Mean validation PR-AUC</x:v>
      </x:c>
      <x:c r="H6" s="24" t="n">
        <x:v>0.4953102157</x:v>
      </x:c>
      <x:c r="I6" s="24" t="n">
        <x:v>0.8496951349</x:v>
      </x:c>
      <x:c r="J6" s="16" t="str">
        <x:v>Yes (within project only)</x:v>
      </x:c>
      <x:c r="K6" s="16" t="str">
        <x:v>Matched detector and policies; isolates the preprocessing treatment.</x:v>
      </x:c>
      <x:c r="L6" s="16" t="str">
        <x:v>Validation proxy diagnostic</x:v>
      </x:c>
      <x:c r="M6" s="16" t="str">
        <x:v>3aa9f0f</x:v>
      </x:c>
      <x:c r="N6" s="16" t="str">
        <x:v>reports/baselines_v2/selected_models.csv</x:v>
      </x:c>
    </x:row>
    <x:row r="7" ht="64" customHeight="1">
      <x:c r="A7" s="16" t="n">
        <x:v>3</x:v>
      </x:c>
      <x:c r="B7" s="16" t="str">
        <x:v>Current project</x:v>
      </x:c>
      <x:c r="C7" s="16" t="str">
        <x:v>FD002</x:v>
      </x:c>
      <x:c r="D7" s="16" t="str">
        <x:v>Same engine-disjoint validation set</x:v>
      </x:c>
      <x:c r="E7" s="16" t="str">
        <x:v>Same three endpoint proxies</x:v>
      </x:c>
      <x:c r="F7" s="16" t="str">
        <x:v>P1 K=6 + One-Class SVM</x:v>
      </x:c>
      <x:c r="G7" s="16" t="str">
        <x:v>Mean validation PR-AUC</x:v>
      </x:c>
      <x:c r="H7" s="24" t="n">
        <x:v>0.8328076731</x:v>
      </x:c>
      <x:c r="I7" s="24" t="n">
        <x:v>0.8328076731</x:v>
      </x:c>
      <x:c r="J7" s="16" t="str">
        <x:v>Yes (within project only)</x:v>
      </x:c>
      <x:c r="K7" s="16" t="str">
        <x:v>Comparable with the current P0 OCSVM row.</x:v>
      </x:c>
      <x:c r="L7" s="16" t="str">
        <x:v>Validation proxy diagnostic</x:v>
      </x:c>
      <x:c r="M7" s="16" t="str">
        <x:v>3aa9f0f</x:v>
      </x:c>
      <x:c r="N7" s="16" t="str">
        <x:v>reports/baselines_v2/selected_models.csv</x:v>
      </x:c>
    </x:row>
    <x:row r="8" ht="64" customHeight="1">
      <x:c r="A8" s="16" t="n">
        <x:v>4</x:v>
      </x:c>
      <x:c r="B8" s="16" t="str">
        <x:v>Current project</x:v>
      </x:c>
      <x:c r="C8" s="16" t="str">
        <x:v>FD002</x:v>
      </x:c>
      <x:c r="D8" s="16" t="str">
        <x:v>Same engine-disjoint validation set</x:v>
      </x:c>
      <x:c r="E8" s="16" t="str">
        <x:v>Same three endpoint proxies</x:v>
      </x:c>
      <x:c r="F8" s="16" t="str">
        <x:v>P0 global + One-Class SVM</x:v>
      </x:c>
      <x:c r="G8" s="16" t="str">
        <x:v>Mean validation PR-AUC</x:v>
      </x:c>
      <x:c r="H8" s="24" t="n">
        <x:v>0.3488766382</x:v>
      </x:c>
      <x:c r="I8" s="24" t="n">
        <x:v>0.8328076731</x:v>
      </x:c>
      <x:c r="J8" s="16" t="str">
        <x:v>Yes (within project only)</x:v>
      </x:c>
      <x:c r="K8" s="16" t="str">
        <x:v>Matched detector and policies; isolates preprocessing.</x:v>
      </x:c>
      <x:c r="L8" s="16" t="str">
        <x:v>Validation proxy diagnostic</x:v>
      </x:c>
      <x:c r="M8" s="16" t="str">
        <x:v>3aa9f0f</x:v>
      </x:c>
      <x:c r="N8" s="16" t="str">
        <x:v>reports/baselines_v2/selected_models.csv</x:v>
      </x:c>
    </x:row>
    <x:row r="9" ht="64" customHeight="1">
      <x:c r="A9" s="16" t="n">
        <x:v>5</x:v>
      </x:c>
      <x:c r="B9" s="16" t="str">
        <x:v>Current project</x:v>
      </x:c>
      <x:c r="C9" s="16" t="str">
        <x:v>FD002</x:v>
      </x:c>
      <x:c r="D9" s="16" t="str">
        <x:v>Matched seeds 43-45; 52 validation engines</x:v>
      </x:c>
      <x:c r="E9" s="16" t="str">
        <x:v>Mean across endpoint final 10/20/30% proxies</x:v>
      </x:c>
      <x:c r="F9" s="16" t="str">
        <x:v>P1 K=6 + balanced LSTM-AE</x:v>
      </x:c>
      <x:c r="G9" s="16" t="str">
        <x:v>Median mean validation PR-AUC</x:v>
      </x:c>
      <x:c r="H9" s="24" t="n">
        <x:v>0.81088283</x:v>
      </x:c>
      <x:c r="I9" s="24" t="n">
        <x:v>0.81088283</x:v>
      </x:c>
      <x:c r="J9" s="16" t="str">
        <x:v>Yes (within project only)</x:v>
      </x:c>
      <x:c r="K9" s="16" t="str">
        <x:v>Comparable with the current P0 LSTM screen under the registered matched-seed stage.</x:v>
      </x:c>
      <x:c r="L9" s="16" t="str">
        <x:v>Validation proxy diagnostic</x:v>
      </x:c>
      <x:c r="M9" s="16" t="str">
        <x:v>3aa9f0f</x:v>
      </x:c>
      <x:c r="N9" s="16" t="str">
        <x:v>reports/lstm_v2/robustness_summary.csv</x:v>
      </x:c>
    </x:row>
    <x:row r="10" ht="64" customHeight="1">
      <x:c r="A10" s="16" t="n">
        <x:v>6</x:v>
      </x:c>
      <x:c r="B10" s="16" t="str">
        <x:v>Current project</x:v>
      </x:c>
      <x:c r="C10" s="16" t="str">
        <x:v>FD002</x:v>
      </x:c>
      <x:c r="D10" s="16" t="str">
        <x:v>Matched seeds 43-45; same validation engines</x:v>
      </x:c>
      <x:c r="E10" s="16" t="str">
        <x:v>Same three endpoint proxies</x:v>
      </x:c>
      <x:c r="F10" s="16" t="str">
        <x:v>P0 global + balanced LSTM-AE</x:v>
      </x:c>
      <x:c r="G10" s="16" t="str">
        <x:v>Median mean validation PR-AUC</x:v>
      </x:c>
      <x:c r="H10" s="24" t="n">
        <x:v>0.24004696</x:v>
      </x:c>
      <x:c r="I10" s="24" t="n">
        <x:v>0.81088283</x:v>
      </x:c>
      <x:c r="J10" s="16" t="str">
        <x:v>Yes (within project only)</x:v>
      </x:c>
      <x:c r="K10" s="16" t="str">
        <x:v>Matched architecture, seeds, and policies; preprocessing effect only within the screen.</x:v>
      </x:c>
      <x:c r="L10" s="16" t="str">
        <x:v>Validation proxy diagnostic</x:v>
      </x:c>
      <x:c r="M10" s="16" t="str">
        <x:v>3aa9f0f</x:v>
      </x:c>
      <x:c r="N10" s="16" t="str">
        <x:v>reports/lstm_v2/robustness_summary.csv</x:v>
      </x:c>
    </x:row>
    <x:row r="11" ht="64" customHeight="1">
      <x:c r="A11" s="16" t="n">
        <x:v>7</x:v>
      </x:c>
      <x:c r="B11" s="16" t="str">
        <x:v>Current project</x:v>
      </x:c>
      <x:c r="C11" s="16" t="str">
        <x:v>FD002</x:v>
      </x:c>
      <x:c r="D11" s="16" t="str">
        <x:v>Same engine-disjoint validation set</x:v>
      </x:c>
      <x:c r="E11" s="16" t="str">
        <x:v>Same three endpoint proxies</x:v>
      </x:c>
      <x:c r="F11" s="16" t="str">
        <x:v>P1 K=6 + Isolation Forest</x:v>
      </x:c>
      <x:c r="G11" s="16" t="str">
        <x:v>Mean validation PR-AUC</x:v>
      </x:c>
      <x:c r="H11" s="24" t="n">
        <x:v>0.7891693415</x:v>
      </x:c>
      <x:c r="I11" s="24" t="n">
        <x:v>0.7891693415</x:v>
      </x:c>
      <x:c r="J11" s="16" t="str">
        <x:v>Yes (within project only)</x:v>
      </x:c>
      <x:c r="K11" s="16" t="str">
        <x:v>Comparable with current P0 Isolation Forest.</x:v>
      </x:c>
      <x:c r="L11" s="16" t="str">
        <x:v>Validation proxy diagnostic</x:v>
      </x:c>
      <x:c r="M11" s="16" t="str">
        <x:v>3aa9f0f</x:v>
      </x:c>
      <x:c r="N11" s="16" t="str">
        <x:v>reports/baselines_v2/selected_models.csv</x:v>
      </x:c>
    </x:row>
    <x:row r="12" ht="64" customHeight="1">
      <x:c r="A12" s="16" t="n">
        <x:v>8</x:v>
      </x:c>
      <x:c r="B12" s="16" t="str">
        <x:v>Current project</x:v>
      </x:c>
      <x:c r="C12" s="16" t="str">
        <x:v>FD002</x:v>
      </x:c>
      <x:c r="D12" s="16" t="str">
        <x:v>Same engine-disjoint validation set</x:v>
      </x:c>
      <x:c r="E12" s="16" t="str">
        <x:v>Same three endpoint proxies</x:v>
      </x:c>
      <x:c r="F12" s="16" t="str">
        <x:v>P0 global + Isolation Forest</x:v>
      </x:c>
      <x:c r="G12" s="16" t="str">
        <x:v>Mean validation PR-AUC</x:v>
      </x:c>
      <x:c r="H12" s="24" t="n">
        <x:v>0.2545954469</x:v>
      </x:c>
      <x:c r="I12" s="24" t="n">
        <x:v>0.7891693415</x:v>
      </x:c>
      <x:c r="J12" s="16" t="str">
        <x:v>Yes (within project only)</x:v>
      </x:c>
      <x:c r="K12" s="16" t="str">
        <x:v>Matched detector and policies; preprocessing effect.</x:v>
      </x:c>
      <x:c r="L12" s="16" t="str">
        <x:v>Validation proxy diagnostic</x:v>
      </x:c>
      <x:c r="M12" s="16" t="str">
        <x:v>3aa9f0f</x:v>
      </x:c>
      <x:c r="N12" s="16" t="str">
        <x:v>reports/baselines_v2/selected_models.csv</x:v>
      </x:c>
    </x:row>
    <x:row r="13" ht="64" customHeight="1">
      <x:c r="A13" s="16" t="n">
        <x:v>9</x:v>
      </x:c>
      <x:c r="B13" s="16" t="str">
        <x:v>Current project</x:v>
      </x:c>
      <x:c r="C13" s="16" t="str">
        <x:v>FD002</x:v>
      </x:c>
      <x:c r="D13" s="16" t="str">
        <x:v>Same engine-disjoint validation set</x:v>
      </x:c>
      <x:c r="E13" s="16" t="str">
        <x:v>Same three endpoint proxies</x:v>
      </x:c>
      <x:c r="F13" s="16" t="str">
        <x:v>P1 K=6 + PCA</x:v>
      </x:c>
      <x:c r="G13" s="16" t="str">
        <x:v>Mean validation PR-AUC</x:v>
      </x:c>
      <x:c r="H13" s="24" t="n">
        <x:v>0.7724072947</x:v>
      </x:c>
      <x:c r="I13" s="24" t="n">
        <x:v>0.7724072947</x:v>
      </x:c>
      <x:c r="J13" s="16" t="str">
        <x:v>Yes (within project only)</x:v>
      </x:c>
      <x:c r="K13" s="16" t="str">
        <x:v>Comparable with current P0 PCA.</x:v>
      </x:c>
      <x:c r="L13" s="16" t="str">
        <x:v>Validation proxy diagnostic</x:v>
      </x:c>
      <x:c r="M13" s="16" t="str">
        <x:v>3aa9f0f</x:v>
      </x:c>
      <x:c r="N13" s="16" t="str">
        <x:v>reports/baselines_v2/selected_models.csv</x:v>
      </x:c>
    </x:row>
    <x:row r="14" ht="64" customHeight="1">
      <x:c r="A14" s="16" t="n">
        <x:v>10</x:v>
      </x:c>
      <x:c r="B14" s="16" t="str">
        <x:v>Current project</x:v>
      </x:c>
      <x:c r="C14" s="16" t="str">
        <x:v>FD002</x:v>
      </x:c>
      <x:c r="D14" s="16" t="str">
        <x:v>Same engine-disjoint validation set</x:v>
      </x:c>
      <x:c r="E14" s="16" t="str">
        <x:v>Same three endpoint proxies</x:v>
      </x:c>
      <x:c r="F14" s="16" t="str">
        <x:v>P0 global + PCA</x:v>
      </x:c>
      <x:c r="G14" s="16" t="str">
        <x:v>Mean validation PR-AUC</x:v>
      </x:c>
      <x:c r="H14" s="24" t="n">
        <x:v>0.7217192761</x:v>
      </x:c>
      <x:c r="I14" s="24" t="n">
        <x:v>0.7724072947</x:v>
      </x:c>
      <x:c r="J14" s="16" t="str">
        <x:v>Yes (within project only)</x:v>
      </x:c>
      <x:c r="K14" s="16" t="str">
        <x:v>Matched detector and policies; preprocessing effect.</x:v>
      </x:c>
      <x:c r="L14" s="16" t="str">
        <x:v>Validation proxy diagnostic</x:v>
      </x:c>
      <x:c r="M14" s="16" t="str">
        <x:v>3aa9f0f</x:v>
      </x:c>
      <x:c r="N14" s="16" t="str">
        <x:v>reports/baselines_v2/selected_models.csv</x:v>
      </x:c>
    </x:row>
    <x:row r="15" ht="64" customHeight="1">
      <x:c r="A15" s="16" t="n">
        <x:v>11</x:v>
      </x:c>
      <x:c r="B15" s="16" t="str">
        <x:v>Sánchez et al. early-fault study</x:v>
      </x:c>
      <x:c r="C15" s="16" t="str">
        <x:v>C-MAPSS including FD002</x:v>
      </x:c>
      <x:c r="D15" s="16" t="str">
        <x:v>Different same-engine life partition</x:v>
      </x:c>
      <x:c r="E15" s="16" t="str">
        <x:v>Healthy 85%; final 10% degraded proxy</x:v>
      </x:c>
      <x:c r="F15" s="16" t="str">
        <x:v>Operating-condition regression + LSTM-AE + persistence</x:v>
      </x:c>
      <x:c r="G15" s="16" t="str">
        <x:v>Precision</x:v>
      </x:c>
      <x:c r="H15" s="24" t="n">
        <x:v>0.374</x:v>
      </x:c>
      <x:c r="I15" s="24" t="str">
        <x:v>Not available at a frozen threshold</x:v>
      </x:c>
      <x:c r="J15" s="16" t="str">
        <x:v>No</x:v>
      </x:c>
      <x:c r="K15" s="16" t="str">
        <x:v>Our current output is PR-AUC ranking on engine-disjoint validation; threshold, labels, and split differ.</x:v>
      </x:c>
      <x:c r="L15" s="16" t="str">
        <x:v>Literature result</x:v>
      </x:c>
      <x:c r="M15" s="16" t="n">
        <x:v>13</x:v>
      </x:c>
      <x:c r="N15" s="16" t="str">
        <x:v>https://arxiv.org/abs/2601.10269</x:v>
      </x:c>
    </x:row>
    <x:row r="16" ht="64" customHeight="1">
      <x:c r="A16" s="16" t="n">
        <x:v>12</x:v>
      </x:c>
      <x:c r="B16" s="16" t="str">
        <x:v>Sánchez et al. early-fault study</x:v>
      </x:c>
      <x:c r="C16" s="16" t="str">
        <x:v>C-MAPSS including FD002</x:v>
      </x:c>
      <x:c r="D16" s="16" t="str">
        <x:v>Different same-engine life partition</x:v>
      </x:c>
      <x:c r="E16" s="16" t="str">
        <x:v>Healthy 85%; final 10% degraded proxy</x:v>
      </x:c>
      <x:c r="F16" s="16" t="str">
        <x:v>Operating-condition regression + LSTM-AE + persistence</x:v>
      </x:c>
      <x:c r="G16" s="16" t="str">
        <x:v>Recall</x:v>
      </x:c>
      <x:c r="H16" s="24" t="n">
        <x:v>0.799</x:v>
      </x:c>
      <x:c r="I16" s="24" t="str">
        <x:v>Not available at a frozen threshold</x:v>
      </x:c>
      <x:c r="J16" s="16" t="str">
        <x:v>No</x:v>
      </x:c>
      <x:c r="K16" s="16" t="str">
        <x:v>Metric and operating point differ; not a valid numerical comparison.</x:v>
      </x:c>
      <x:c r="L16" s="16" t="str">
        <x:v>Literature result</x:v>
      </x:c>
      <x:c r="M16" s="16" t="n">
        <x:v>13</x:v>
      </x:c>
      <x:c r="N16" s="16" t="str">
        <x:v>https://arxiv.org/abs/2601.10269</x:v>
      </x:c>
    </x:row>
    <x:row r="17" ht="64" customHeight="1">
      <x:c r="A17" s="16" t="n">
        <x:v>13</x:v>
      </x:c>
      <x:c r="B17" s="16" t="str">
        <x:v>Sánchez et al. early-fault study</x:v>
      </x:c>
      <x:c r="C17" s="16" t="str">
        <x:v>C-MAPSS including FD002</x:v>
      </x:c>
      <x:c r="D17" s="16" t="str">
        <x:v>Different same-engine life partition</x:v>
      </x:c>
      <x:c r="E17" s="16" t="str">
        <x:v>Healthy 85%; final 10% degraded proxy</x:v>
      </x:c>
      <x:c r="F17" s="16" t="str">
        <x:v>Operating-condition regression + LSTM-AE + persistence</x:v>
      </x:c>
      <x:c r="G17" s="16" t="str">
        <x:v>F1</x:v>
      </x:c>
      <x:c r="H17" s="24" t="n">
        <x:v>0.51</x:v>
      </x:c>
      <x:c r="I17" s="24" t="str">
        <x:v>Not available at a frozen threshold</x:v>
      </x:c>
      <x:c r="J17" s="16" t="str">
        <x:v>No</x:v>
      </x:c>
      <x:c r="K17" s="16" t="str">
        <x:v>F1 cannot be compared with PR-AUC; label and split protocols differ.</x:v>
      </x:c>
      <x:c r="L17" s="16" t="str">
        <x:v>Literature result</x:v>
      </x:c>
      <x:c r="M17" s="16" t="n">
        <x:v>13</x:v>
      </x:c>
      <x:c r="N17" s="16" t="str">
        <x:v>https://arxiv.org/abs/2601.10269</x:v>
      </x:c>
    </x:row>
    <x:row r="18" ht="64" customHeight="1">
      <x:c r="A18" s="16" t="n">
        <x:v>14</x:v>
      </x:c>
      <x:c r="B18" s="16" t="str">
        <x:v>Reddy et al.</x:v>
      </x:c>
      <x:c r="C18" s="16" t="str">
        <x:v>Aircraft actuator flight data</x:v>
      </x:c>
      <x:c r="D18" s="16" t="str">
        <x:v>Laboratory validation across operating conditions</x:v>
      </x:c>
      <x:c r="E18" s="16" t="str">
        <x:v>Known nominal and fault scenarios</x:v>
      </x:c>
      <x:c r="F18" s="16" t="str">
        <x:v>Deep autoencoder</x:v>
      </x:c>
      <x:c r="G18" s="16" t="str">
        <x:v>Detection rate</x:v>
      </x:c>
      <x:c r="H18" s="24" t="n">
        <x:v>0.978</x:v>
      </x:c>
      <x:c r="I18" s="24" t="str">
        <x:v>N/A</x:v>
      </x:c>
      <x:c r="J18" s="16" t="str">
        <x:v>No</x:v>
      </x:c>
      <x:c r="K18" s="16" t="str">
        <x:v>Different asset, fault injection, labels, and aggregation.</x:v>
      </x:c>
      <x:c r="L18" s="16" t="str">
        <x:v>Literature result</x:v>
      </x:c>
      <x:c r="M18" s="16" t="n">
        <x:v>55</x:v>
      </x:c>
      <x:c r="N18" s="16" t="str">
        <x:v>https://papers.phmsociety.org/index.php/phmconf/article/view/2549</x:v>
      </x:c>
    </x:row>
    <x:row r="19" ht="64" customHeight="1">
      <x:c r="A19" s="16" t="n">
        <x:v>15</x:v>
      </x:c>
      <x:c r="B19" s="16" t="str">
        <x:v>Arias Chao et al.</x:v>
      </x:c>
      <x:c r="C19" s="16" t="str">
        <x:v>C-MAPSS dynamic fault-diagnostics simulation</x:v>
      </x:c>
      <x:c r="D19" s="16" t="str">
        <x:v>Healthy plus four known faults; mean of 10 runs</x:v>
      </x:c>
      <x:c r="E19" s="16" t="str">
        <x:v>Known simulated fault conditions</x:v>
      </x:c>
      <x:c r="F19" s="16" t="str">
        <x:v>AE with calibrated-model inputs</x:v>
      </x:c>
      <x:c r="G19" s="16" t="str">
        <x:v>Accuracy</x:v>
      </x:c>
      <x:c r="H19" s="24" t="n">
        <x:v>1</x:v>
      </x:c>
      <x:c r="I19" s="24" t="str">
        <x:v>N/A</x:v>
      </x:c>
      <x:c r="J19" s="16" t="str">
        <x:v>No</x:v>
      </x:c>
      <x:c r="K19" s="16" t="str">
        <x:v>Known-fault classification accuracy is not comparable to FD002 proxy PR-AUC.</x:v>
      </x:c>
      <x:c r="L19" s="16" t="str">
        <x:v>Literature result</x:v>
      </x:c>
      <x:c r="M19" s="16" t="n">
        <x:v>56</x:v>
      </x:c>
      <x:c r="N19" s="16" t="str">
        <x:v>https://papers.phmsociety.org/index.php/ijphm/article/view/2621</x:v>
      </x:c>
    </x:row>
  </x:sheetData>
  <x:mergeCells>
    <x:mergeCell ref="A1:N1"/>
    <x:mergeCell ref="A2:N2"/>
  </x:mergeCells>
  <x:conditionalFormatting sqref="J5:J19">
    <x:cfRule type="containsText" dxfId="4" priority="1" operator="containsText" text="Yes"/>
    <x:cfRule type="containsText" dxfId="5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feed66156ad449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45" hidden="0" customWidth="1"/>
    <x:col min="4" max="4" width="45" hidden="0" customWidth="1"/>
    <x:col min="5" max="5" width="45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30" customHeight="1">
      <x:c r="A1" s="3" t="str">
        <x:v>Literature-to-Implementation Crosswalk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The role of literature is to constrain claims and experiments—not to force every published model into the codebase.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22" t="str">
        <x:v>Project Question / Module</x:v>
      </x:c>
      <x:c r="B4" s="22" t="str">
        <x:v>Evidence IDs</x:v>
      </x:c>
      <x:c r="C4" s="22" t="str">
        <x:v>What Literature Supports</x:v>
      </x:c>
      <x:c r="D4" s="22" t="str">
        <x:v>What It Does Not Prove</x:v>
      </x:c>
      <x:c r="E4" s="22" t="str">
        <x:v>Current Repository State</x:v>
      </x:c>
      <x:c r="F4" s="22" t="str">
        <x:v>Bible v3 Decision</x:v>
      </x:c>
      <x:c r="G4" s="22" t="str">
        <x:v>Next Acceptance Gate</x:v>
      </x:c>
      <x:c r="H4" s="22" t="str">
        <x:v>Claim Status</x:v>
      </x:c>
    </x:row>
    <x:row r="5" ht="82" customHeight="1">
      <x:c r="A5" s="16" t="str">
        <x:v>FD002 suitability and limits</x:v>
      </x:c>
      <x:c r="B5" s="16" t="str">
        <x:v>1-4, 53-54</x:v>
      </x:c>
      <x:c r="C5" s="16" t="str">
        <x:v>Multiple operating conditions make context effects a valid question; simulator and dataset facts are traceable.</x:v>
      </x:c>
      <x:c r="D5" s="16" t="str">
        <x:v>No true cycle-level anomaly onset and no guarantee of real-flight generalization.</x:v>
      </x:c>
      <x:c r="E5" s="16" t="str">
        <x:v>FD002 selected; deterministic 60/20/20 split exists.</x:v>
      </x:c>
      <x:c r="F5" s="16" t="str">
        <x:v>Keep FD002 primary; reserve official NASA test and possible N-CMAPSS extension for frozen later evaluation.</x:v>
      </x:c>
      <x:c r="G5" s="16" t="str">
        <x:v>Claims ledger and provenance lock.</x:v>
      </x:c>
      <x:c r="H5" s="16" t="str">
        <x:v>Supported with limitations</x:v>
      </x:c>
    </x:row>
    <x:row r="6" ht="82" customHeight="1">
      <x:c r="A6" s="16" t="str">
        <x:v>Operating-condition handling</x:v>
      </x:c>
      <x:c r="B6" s="16" t="str">
        <x:v>4, 17-22, 50, 56-57</x:v>
      </x:c>
      <x:c r="C6" s="16" t="str">
        <x:v>Condition shifts can dominate sensor variation; scaling before K-Means and training-only condition modeling are required.</x:v>
      </x:c>
      <x:c r="D6" s="16" t="str">
        <x:v>Per-regime scaling is not novel and K=6 is not physically proven solely by silhouette.</x:v>
      </x:c>
      <x:c r="E6" s="16" t="str">
        <x:v>P0 global and P1 K=6 validated; all matched classical and LSTM screens favor P1 on validation proxies.</x:v>
      </x:c>
      <x:c r="F6" s="16" t="str">
        <x:v>Freeze K=6 for the registered continuation; retain P0 as causal control; residualization is optional only if budget permits.</x:v>
      </x:c>
      <x:c r="G6" s="16" t="str">
        <x:v>Owner approves Gate 3 and final-refit protocol.</x:v>
      </x:c>
      <x:c r="H6" s="16" t="str">
        <x:v>Validation-supported, not final</x:v>
      </x:c>
    </x:row>
    <x:row r="7" ht="82" customHeight="1">
      <x:c r="A7" s="16" t="str">
        <x:v>Healthy-only learning</x:v>
      </x:c>
      <x:c r="B7" s="16" t="str">
        <x:v>5-7, 11-16, 55-71</x:v>
      </x:c>
      <x:c r="C7" s="16" t="str">
        <x:v>Reconstruction and one-class learning are established methods for nominal behavior.</x:v>
      </x:c>
      <x:c r="D7" s="16" t="str">
        <x:v>The first 30% is not ground truth and LSTM complexity is not automatically superior.</x:v>
      </x:c>
      <x:c r="E7" s="16" t="str">
        <x:v>5,037 early-life train windows; classical complete; nine LSTM screen runs verified.</x:v>
      </x:c>
      <x:c r="F7" s="16" t="str">
        <x:v>Run healthy-fraction sensitivity and a longer final LSTM refit; preserve simple controls.</x:v>
      </x:c>
      <x:c r="G7" s="16" t="str">
        <x:v>Final training protocol and sensitivity grid registered.</x:v>
      </x:c>
      <x:c r="H7" s="16" t="str">
        <x:v>Partially supported</x:v>
      </x:c>
    </x:row>
    <x:row r="8" ht="82" customHeight="1">
      <x:c r="A8" s="16" t="str">
        <x:v>Unknown degradation onset</x:v>
      </x:c>
      <x:c r="B8" s="16" t="str">
        <x:v>8-10, 81-85</x:v>
      </x:c>
      <x:c r="C8" s="16" t="str">
        <x:v>Fixed late-life proxies and change-point methods are defensible sensitivity analyses.</x:v>
      </x:c>
      <x:c r="D8" s="16" t="str">
        <x:v>Any one proxy is physical truth or universal across engines.</x:v>
      </x:c>
      <x:c r="E8" s="16" t="str">
        <x:v>Five proxy policies implemented; 20/30/40% training sensitivity and RUL proxies pending.</x:v>
      </x:c>
      <x:c r="F8" s="16" t="str">
        <x:v>Separate training eligibility, evaluation labels, and auxiliary estimated onsets in metadata.</x:v>
      </x:c>
      <x:c r="G8" s="16" t="str">
        <x:v>Proxy-policy sensitivity completed on validation.</x:v>
      </x:c>
      <x:c r="H8" s="16" t="str">
        <x:v>Open evidence work</x:v>
      </x:c>
    </x:row>
    <x:row r="9" ht="82" customHeight="1">
      <x:c r="A9" s="16" t="str">
        <x:v>Thresholds and persistence</x:v>
      </x:c>
      <x:c r="B9" s="16" t="str">
        <x:v>26-27, 34, 76-89</x:v>
      </x:c>
      <x:c r="C9" s="16" t="str">
        <x:v>Score-to-alert conversion, smoothing, persistence, and timeliness materially affect operational performance.</x:v>
      </x:c>
      <x:c r="D9" s="16" t="str">
        <x:v>A dynamic threshold is novel or safe to recalibrate on all incoming scores.</x:v>
      </x:c>
      <x:c r="E9" s="16" t="str">
        <x:v>Legacy adaptive threshold is prototype-only; Phase 5 not started.</x:v>
      </x:c>
      <x:c r="F9" s="16" t="str">
        <x:v>Primary study: frozen validation-selected thresholds, EWMA on/off, persistence grid; online recalibration off.</x:v>
      </x:c>
      <x:c r="G9" s="16" t="str">
        <x:v>Alert metrics and thresholds frozen without test access.</x:v>
      </x:c>
      <x:c r="H9" s="16" t="str">
        <x:v>Pending</x:v>
      </x:c>
    </x:row>
    <x:row r="10" ht="82" customHeight="1">
      <x:c r="A10" s="16" t="str">
        <x:v>Evaluation</x:v>
      </x:c>
      <x:c r="B10" s="16" t="str">
        <x:v>3, 34-40, 73-80, 100</x:v>
      </x:c>
      <x:c r="C10" s="16" t="str">
        <x:v>Metrics and protocols can reverse rankings or inflate performance; engine/event units matter.</x:v>
      </x:c>
      <x:c r="D10" s="16" t="str">
        <x:v>PR-AUC proves deployment quality or can be compared to literature F1.</x:v>
      </x:c>
      <x:c r="E10" s="16" t="str">
        <x:v>Validation-proxy PR-AUC/ROC-AUC recorded; no final threshold metrics.</x:v>
      </x:c>
      <x:c r="F10" s="16" t="str">
        <x:v>Report ranking plus event/engine metrics, uncertainty, and explicit proxy semantics; prohibit point adjustment.</x:v>
      </x:c>
      <x:c r="G10" s="16" t="str">
        <x:v>Synthetic metric tests and validation-only selection.</x:v>
      </x:c>
      <x:c r="H10" s="16" t="str">
        <x:v>Protocol supported; results incomplete</x:v>
      </x:c>
    </x:row>
    <x:row r="11" ht="82" customHeight="1">
      <x:c r="A11" s="16" t="str">
        <x:v>Fusion</x:v>
      </x:c>
      <x:c r="B11" s="16" t="str">
        <x:v>45-47, 95-98</x:v>
      </x:c>
      <x:c r="C11" s="16" t="str">
        <x:v>Heterogeneous scores need frozen calibration and complementarity analysis before combination.</x:v>
      </x:c>
      <x:c r="D11" s="16" t="str">
        <x:v>Fusion necessarily beats the best single detector.</x:v>
      </x:c>
      <x:c r="E11" s="16" t="str">
        <x:v>Not implemented in v2 research path.</x:v>
      </x:c>
      <x:c r="F11" s="16" t="str">
        <x:v>Defer until single-detector alert policies are fixed; keep only if predeclared validation gains are stable.</x:v>
      </x:c>
      <x:c r="G11" s="16" t="str">
        <x:v>Correlation/error-complementarity gate.</x:v>
      </x:c>
      <x:c r="H11" s="16" t="str">
        <x:v>Deferred</x:v>
      </x:c>
    </x:row>
    <x:row r="12" ht="82" customHeight="1">
      <x:c r="A12" s="16" t="str">
        <x:v>Explainability</x:v>
      </x:c>
      <x:c r="B12" s="16" t="str">
        <x:v>41-44, 55, 62-65, 90-94, 99</x:v>
      </x:c>
      <x:c r="C12" s="16" t="str">
        <x:v>Native sensor/time contributions and sequence-aware attributions are possible.</x:v>
      </x:c>
      <x:c r="D12" s="16" t="str">
        <x:v>A top-three deviation heuristic is SHAP or a root-cause explanation.</x:v>
      </x:c>
      <x:c r="E12" s="16" t="str">
        <x:v>API `shap_top3` remains a legacy placeholder.</x:v>
      </x:c>
      <x:c r="F12" s="16" t="str">
        <x:v>Primary: per-sensor/per-time reconstruction contribution; optional TimeSHAP or AE-SHAP with fidelity tests.</x:v>
      </x:c>
      <x:c r="G12" s="16" t="str">
        <x:v>Contributions reconcile with score; placeholder removed/renamed.</x:v>
      </x:c>
      <x:c r="H12" s="16" t="str">
        <x:v>Deferred / placeholder invalid</x:v>
      </x:c>
    </x:row>
    <x:row r="13" ht="82" customHeight="1">
      <x:c r="A13" s="16" t="str">
        <x:v>Online adaptation and drift</x:v>
      </x:c>
      <x:c r="B13" s="16" t="str">
        <x:v>48-49, 73, 88-89</x:v>
      </x:c>
      <x:c r="C13" s="16" t="str">
        <x:v>Drift adaptation needs explicit detection, update policies, and contamination stress tests.</x:v>
      </x:c>
      <x:c r="D13" s="16" t="str">
        <x:v>Updating thresholds on every score is safe.</x:v>
      </x:c>
      <x:c r="E13" s="16" t="str">
        <x:v>Legacy recalibration can absorb degradation.</x:v>
      </x:c>
      <x:c r="F13" s="16" t="str">
        <x:v>No online adaptation in primary study; later gated experiment only.</x:v>
      </x:c>
      <x:c r="G13" s="16" t="str">
        <x:v>Healthy-gate and contamination simulation.</x:v>
      </x:c>
      <x:c r="H13" s="16" t="str">
        <x:v>Deferred</x:v>
      </x:c>
    </x:row>
    <x:row r="14" ht="82" customHeight="1">
      <x:c r="A14" s="16" t="str">
        <x:v>Research contribution</x:v>
      </x:c>
      <x:c r="B14" s="16" t="str">
        <x:v>All, especially 3-4, 19, 34-40, 73-80</x:v>
      </x:c>
      <x:c r="C14" s="16" t="str">
        <x:v>A leakage-controlled, reproducible ablation study is useful even without a new detector.</x:v>
      </x:c>
      <x:c r="D14" s="16" t="str">
        <x:v>First-ever per-regime LSTM anomaly system or production readiness.</x:v>
      </x:c>
      <x:c r="E14" s="16" t="str">
        <x:v>Phases 1-4 screen complete; test unopened; Phase 5+ pending.</x:v>
      </x:c>
      <x:c r="F14" s="16" t="str">
        <x:v>Position contribution as controlled condition-awareness study with onset sensitivity and operational metrics.</x:v>
      </x:c>
      <x:c r="G14" s="16" t="str">
        <x:v>Frozen test plus claims ledger and full artifact provenance.</x:v>
      </x:c>
      <x:c r="H14" s="16" t="str">
        <x:v>Defensible if completed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4519f7847f94d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3" hidden="0" customWidth="1"/>
    <x:col min="4" max="4" width="34" hidden="0" customWidth="1"/>
    <x:col min="5" max="5" width="16" hidden="0" customWidth="1"/>
    <x:col min="6" max="6" width="3" hidden="0" customWidth="1"/>
    <x:col min="7" max="7" width="38" hidden="0" customWidth="1"/>
    <x:col min="8" max="8" width="16" hidden="0" customWidth="1"/>
  </x:cols>
  <x:sheetData>
    <x:row r="1" ht="30" customHeight="1">
      <x:c r="A1" s="3" t="str">
        <x:v>Quality and Coverage Summary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Counts are calculated from the Evidence Matrix. Use this sheet to see coverage and evidence-access limitations before writing.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22" t="str">
        <x:v>Headline</x:v>
      </x:c>
      <x:c r="B4" s="22" t="str">
        <x:v>Value</x:v>
      </x:c>
      <x:c r="D4" s="22" t="str">
        <x:v>Theme</x:v>
      </x:c>
      <x:c r="E4" s="22" t="str">
        <x:v>Source Count</x:v>
      </x:c>
      <x:c r="G4" s="22" t="str">
        <x:v>Evidence Access</x:v>
      </x:c>
      <x:c r="H4" s="22" t="str">
        <x:v>Source Count</x:v>
      </x:c>
    </x:row>
    <x:row r="5">
      <x:c r="A5" s="26" t="str">
        <x:v>Total sources</x:v>
      </x:c>
      <x:c r="B5" s="16" t="n">
        <x:f>COUNTA('Evidence Matrix'!$A$5:$A$104)</x:f>
        <x:v>100</x:v>
      </x:c>
      <x:c r="D5" s="16" t="str">
        <x:v>aeroengine_fault_detection</x:v>
      </x:c>
      <x:c r="E5" s="16" t="n">
        <x:f>COUNTIF('Evidence Matrix'!$D$5:$D$104,D5)</x:f>
        <x:v>1</x:v>
      </x:c>
      <x:c r="G5" s="16" t="str">
        <x:v>abstract_checked</x:v>
      </x:c>
      <x:c r="H5" s="16" t="n">
        <x:f>COUNTIF('Evidence Matrix'!$I$5:$I$104,G5)</x:f>
        <x:v>20</x:v>
      </x:c>
    </x:row>
    <x:row r="6">
      <x:c r="A6" s="26" t="str">
        <x:v>Tier A</x:v>
      </x:c>
      <x:c r="B6" s="16" t="n">
        <x:f>COUNTIF('Evidence Matrix'!$C$5:$C$104,"A")</x:f>
        <x:v>90</x:v>
      </x:c>
      <x:c r="D6" s="16" t="str">
        <x:v>aerospace_anomaly</x:v>
      </x:c>
      <x:c r="E6" s="16" t="n">
        <x:f>COUNTIF('Evidence Matrix'!$D$5:$D$104,D6)</x:f>
        <x:v>1</x:v>
      </x:c>
      <x:c r="G6" s="16" t="str">
        <x:v>abstract_or_record_checked_prior_review</x:v>
      </x:c>
      <x:c r="H6" s="16" t="n">
        <x:f>COUNTIF('Evidence Matrix'!$I$5:$I$104,G6)</x:f>
        <x:v>8</x:v>
      </x:c>
    </x:row>
    <x:row r="7">
      <x:c r="A7" s="26" t="str">
        <x:v>Tier B</x:v>
      </x:c>
      <x:c r="B7" s="16" t="n">
        <x:f>COUNTIF('Evidence Matrix'!$C$5:$C$104,"B")</x:f>
        <x:v>9</x:v>
      </x:c>
      <x:c r="D7" s="16" t="str">
        <x:v>benchmark</x:v>
      </x:c>
      <x:c r="E7" s="16" t="n">
        <x:f>COUNTIF('Evidence Matrix'!$D$5:$D$104,D7)</x:f>
        <x:v>2</x:v>
      </x:c>
      <x:c r="G7" s="16" t="str">
        <x:v>full_text_checked</x:v>
      </x:c>
      <x:c r="H7" s="16" t="n">
        <x:f>COUNTIF('Evidence Matrix'!$I$5:$I$104,G7)</x:f>
        <x:v>25</x:v>
      </x:c>
    </x:row>
    <x:row r="8">
      <x:c r="A8" s="26" t="str">
        <x:v>Tier C</x:v>
      </x:c>
      <x:c r="B8" s="16" t="n">
        <x:f>COUNTIF('Evidence Matrix'!$C$5:$C$104,"C")</x:f>
        <x:v>1</x:v>
      </x:c>
      <x:c r="D8" s="16" t="str">
        <x:v>classical_baseline</x:v>
      </x:c>
      <x:c r="E8" s="16" t="n">
        <x:f>COUNTIF('Evidence Matrix'!$D$5:$D$104,D8)</x:f>
        <x:v>3</x:v>
      </x:c>
      <x:c r="G8" s="16" t="str">
        <x:v>full_text_checked_prior_review</x:v>
      </x:c>
      <x:c r="H8" s="16" t="n">
        <x:f>COUNTIF('Evidence Matrix'!$I$5:$I$104,G8)</x:f>
        <x:v>43</x:v>
      </x:c>
    </x:row>
    <x:row r="9">
      <x:c r="A9" s="26" t="str">
        <x:v>Core sources</x:v>
      </x:c>
      <x:c r="B9" s="16" t="n">
        <x:f>COUNTIF('Evidence Matrix'!$R$5:$R$104,"Core")</x:f>
        <x:v>42</x:v>
      </x:c>
      <x:c r="D9" s="16" t="str">
        <x:v>classical_extension</x:v>
      </x:c>
      <x:c r="E9" s="16" t="n">
        <x:f>COUNTIF('Evidence Matrix'!$D$5:$D$104,D9)</x:f>
        <x:v>1</x:v>
      </x:c>
      <x:c r="G9" s="16" t="str">
        <x:v>official_record_checked</x:v>
      </x:c>
      <x:c r="H9" s="16" t="n">
        <x:f>COUNTIF('Evidence Matrix'!$I$5:$I$104,G9)</x:f>
        <x:v>4</x:v>
      </x:c>
    </x:row>
    <x:row r="10">
      <x:c r="A10" s="26" t="str">
        <x:v>Full-text checked in this or prior review</x:v>
      </x:c>
      <x:c r="B10" s="16" t="n">
        <x:f>COUNTIF('Evidence Matrix'!$I$5:$I$104,"full_text_checked")+COUNTIF('Evidence Matrix'!$I$5:$I$104,"full_text_checked_prior_review")</x:f>
        <x:v>68</x:v>
      </x:c>
      <x:c r="D10" s="16" t="str">
        <x:v>condition_aware</x:v>
      </x:c>
      <x:c r="E10" s="16" t="n">
        <x:f>COUNTIF('Evidence Matrix'!$D$5:$D$104,D10)</x:f>
        <x:v>5</x:v>
      </x:c>
    </x:row>
    <x:row r="11">
      <x:c r="D11" s="16" t="str">
        <x:v>data_engineering</x:v>
      </x:c>
      <x:c r="E11" s="16" t="n">
        <x:f>COUNTIF('Evidence Matrix'!$D$5:$D$104,D11)</x:f>
        <x:v>1</x:v>
      </x:c>
    </x:row>
    <x:row r="12" ht="54" customHeight="1">
      <x:c r="A12" s="38" t="str">
        <x:v>Interpretation: 100 records provide breadth, but only protocol-compatible rows belong in a numeric comparison. The Direct Metrics sheet deliberately marks literature comparisons as No until metric, split, label, threshold, and aggregation semantics match.</x:v>
      </x:c>
      <x:c r="B12" s="39"/>
      <x:c r="C12" s="39"/>
      <x:c r="D12" s="40" t="str">
        <x:v>dataset</x:v>
      </x:c>
      <x:c r="E12" s="40" t="n">
        <x:f>COUNTIF('Evidence Matrix'!$D$5:$D$104,D12)</x:f>
        <x:v>3</x:v>
      </x:c>
      <x:c r="F12" s="39"/>
      <x:c r="G12" s="39"/>
      <x:c r="H12" s="41"/>
    </x:row>
    <x:row r="13">
      <x:c r="D13" s="16" t="str">
        <x:v>dataset_documentation</x:v>
      </x:c>
      <x:c r="E13" s="16" t="n">
        <x:f>COUNTIF('Evidence Matrix'!$D$5:$D$104,D13)</x:f>
        <x:v>1</x:v>
      </x:c>
    </x:row>
    <x:row r="14">
      <x:c r="D14" s="16" t="str">
        <x:v>deep_baseline</x:v>
      </x:c>
      <x:c r="E14" s="16" t="n">
        <x:f>COUNTIF('Evidence Matrix'!$D$5:$D$104,D14)</x:f>
        <x:v>19</x:v>
      </x:c>
    </x:row>
    <x:row r="15">
      <x:c r="D15" s="16" t="str">
        <x:v>degradation_anomaly</x:v>
      </x:c>
      <x:c r="E15" s="16" t="n">
        <x:f>COUNTIF('Evidence Matrix'!$D$5:$D$104,D15)</x:f>
        <x:v>1</x:v>
      </x:c>
    </x:row>
    <x:row r="16">
      <x:c r="D16" s="16" t="str">
        <x:v>direct_cmapss_anomaly</x:v>
      </x:c>
      <x:c r="E16" s="16" t="n">
        <x:f>COUNTIF('Evidence Matrix'!$D$5:$D$104,D16)</x:f>
        <x:v>6</x:v>
      </x:c>
    </x:row>
    <x:row r="17">
      <x:c r="D17" s="16" t="str">
        <x:v>domain_adaptation</x:v>
      </x:c>
      <x:c r="E17" s="16" t="n">
        <x:f>COUNTIF('Evidence Matrix'!$D$5:$D$104,D17)</x:f>
        <x:v>1</x:v>
      </x:c>
    </x:row>
    <x:row r="18">
      <x:c r="D18" s="16" t="str">
        <x:v>dynamic_threshold</x:v>
      </x:c>
      <x:c r="E18" s="16" t="n">
        <x:f>COUNTIF('Evidence Matrix'!$D$5:$D$104,D18)</x:f>
        <x:v>4</x:v>
      </x:c>
    </x:row>
    <x:row r="19">
      <x:c r="D19" s="16" t="str">
        <x:v>ensemble</x:v>
      </x:c>
      <x:c r="E19" s="16" t="n">
        <x:f>COUNTIF('Evidence Matrix'!$D$5:$D$104,D19)</x:f>
        <x:v>6</x:v>
      </x:c>
    </x:row>
    <x:row r="20">
      <x:c r="D20" s="16" t="str">
        <x:v>evaluation</x:v>
      </x:c>
      <x:c r="E20" s="16" t="n">
        <x:f>COUNTIF('Evidence Matrix'!$D$5:$D$104,D20)</x:f>
        <x:v>16</x:v>
      </x:c>
    </x:row>
    <x:row r="21">
      <x:c r="D21" s="16" t="str">
        <x:v>explainability</x:v>
      </x:c>
      <x:c r="E21" s="16" t="n">
        <x:f>COUNTIF('Evidence Matrix'!$D$5:$D$104,D21)</x:f>
        <x:v>10</x:v>
      </x:c>
    </x:row>
    <x:row r="22">
      <x:c r="D22" s="16" t="str">
        <x:v>feature_scaling</x:v>
      </x:c>
      <x:c r="E22" s="16" t="n">
        <x:f>COUNTIF('Evidence Matrix'!$D$5:$D$104,D22)</x:f>
        <x:v>1</x:v>
      </x:c>
    </x:row>
    <x:row r="23">
      <x:c r="D23" s="16" t="str">
        <x:v>health_index</x:v>
      </x:c>
      <x:c r="E23" s="16" t="n">
        <x:f>COUNTIF('Evidence Matrix'!$D$5:$D$104,D23)</x:f>
        <x:v>1</x:v>
      </x:c>
    </x:row>
    <x:row r="24">
      <x:c r="D24" s="16" t="str">
        <x:v>online_drift</x:v>
      </x:c>
      <x:c r="E24" s="16" t="n">
        <x:f>COUNTIF('Evidence Matrix'!$D$5:$D$104,D24)</x:f>
        <x:v>4</x:v>
      </x:c>
    </x:row>
    <x:row r="25">
      <x:c r="D25" s="16" t="str">
        <x:v>onset</x:v>
      </x:c>
      <x:c r="E25" s="16" t="n">
        <x:f>COUNTIF('Evidence Matrix'!$D$5:$D$104,D25)</x:f>
        <x:v>7</x:v>
      </x:c>
    </x:row>
    <x:row r="26">
      <x:c r="D26" s="16" t="str">
        <x:v>residual_anomaly</x:v>
      </x:c>
      <x:c r="E26" s="16" t="n">
        <x:f>COUNTIF('Evidence Matrix'!$D$5:$D$104,D26)</x:f>
        <x:v>3</x:v>
      </x:c>
    </x:row>
    <x:row r="27">
      <x:c r="D27" s="16" t="str">
        <x:v>score_calibration</x:v>
      </x:c>
      <x:c r="E27" s="16" t="n">
        <x:f>COUNTIF('Evidence Matrix'!$D$5:$D$104,D27)</x:f>
        <x:v>1</x:v>
      </x:c>
    </x:row>
    <x:row r="28">
      <x:c r="D28" s="16" t="str">
        <x:v>sequence_anomaly</x:v>
      </x:c>
      <x:c r="E28" s="16" t="n">
        <x:f>COUNTIF('Evidence Matrix'!$D$5:$D$104,D28)</x:f>
        <x:v>1</x:v>
      </x:c>
    </x:row>
    <x:row r="29">
      <x:c r="D29" s="16" t="str">
        <x:v>state_aware_rul</x:v>
      </x:c>
      <x:c r="E29" s="16" t="n">
        <x:f>COUNTIF('Evidence Matrix'!$D$5:$D$104,D29)</x:f>
        <x:v>1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